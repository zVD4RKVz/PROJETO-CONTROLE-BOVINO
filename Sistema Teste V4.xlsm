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f271a637b06641c8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niel Vitor\Desktop\"/>
    </mc:Choice>
  </mc:AlternateContent>
  <xr:revisionPtr revIDLastSave="0" documentId="13_ncr:1_{3198D99A-084C-4B17-9E65-CE479029D921}" xr6:coauthVersionLast="47" xr6:coauthVersionMax="47" xr10:uidLastSave="{00000000-0000-0000-0000-000000000000}"/>
  <bookViews>
    <workbookView minimized="1" showHorizontalScroll="0" showVerticalScroll="0" xWindow="2340" yWindow="2340" windowWidth="15375" windowHeight="7875" firstSheet="2" activeTab="3" autoFilterDateGrouping="0" xr2:uid="{00000000-000D-0000-FFFF-FFFF00000000}"/>
  </bookViews>
  <sheets>
    <sheet name="TESTE" sheetId="18" state="hidden" r:id="rId1"/>
    <sheet name="Tabelas" sheetId="7" state="hidden" r:id="rId2"/>
    <sheet name="Produtos" sheetId="32" r:id="rId3"/>
    <sheet name="Entradas Produtos" sheetId="26" r:id="rId4"/>
    <sheet name="Unidades de Medidas" sheetId="31" r:id="rId5"/>
    <sheet name="Grupo de Produtos" sheetId="30" r:id="rId6"/>
    <sheet name="Combustíveis" sheetId="29" r:id="rId7"/>
    <sheet name="Insumos" sheetId="28" r:id="rId8"/>
    <sheet name="Peças" sheetId="27" r:id="rId9"/>
    <sheet name="Propriedades Rurais" sheetId="9" r:id="rId10"/>
    <sheet name="Animal" sheetId="16" r:id="rId11"/>
    <sheet name="Clientes" sheetId="23" r:id="rId12"/>
    <sheet name="Fornecedores" sheetId="22" r:id="rId13"/>
    <sheet name="Despesas" sheetId="20" r:id="rId14"/>
    <sheet name="Aplicação Medicamentos" sheetId="24" r:id="rId15"/>
    <sheet name="Inseminação" sheetId="21" r:id="rId16"/>
    <sheet name="Pesos" sheetId="15" r:id="rId17"/>
    <sheet name="Receitas" sheetId="19" r:id="rId18"/>
    <sheet name="Origem" sheetId="11" r:id="rId19"/>
    <sheet name="Raça" sheetId="8" r:id="rId20"/>
    <sheet name="Status Animal" sheetId="3" r:id="rId21"/>
    <sheet name="Causa Da Morte" sheetId="14" r:id="rId22"/>
    <sheet name="Pastos" sheetId="10" r:id="rId23"/>
    <sheet name="Sanidade" sheetId="2" r:id="rId24"/>
    <sheet name="Medicamentos" sheetId="12" r:id="rId25"/>
    <sheet name="Tipo Despesa" sheetId="13" r:id="rId26"/>
    <sheet name="Tipo Receita" sheetId="4" r:id="rId27"/>
    <sheet name="Tipo Animal" sheetId="5" r:id="rId28"/>
    <sheet name="DADOS SQL" sheetId="17" state="hidden" r:id="rId29"/>
    <sheet name="Fonte" sheetId="6" r:id="rId30"/>
  </sheets>
  <externalReferences>
    <externalReference r:id="rId31"/>
  </externalReferences>
  <definedNames>
    <definedName name="_Brincos">OFFSET([1]Animal!$B$3,,,COUNTA([1]Animal!$A$3:$A$20000))</definedName>
    <definedName name="_CausaMorte">OFFSET(#REF!,,,COUNTA(#REF!))</definedName>
    <definedName name="_Femeas">OFFSET(#REF!,,,COUNTA(#REF!))</definedName>
    <definedName name="_xlnm._FilterDatabase" localSheetId="28" hidden="1">'DADOS SQL'!$A$2:$G$124</definedName>
    <definedName name="_xlnm._FilterDatabase" localSheetId="20" hidden="1">'Status Animal'!$A$2:$C$6</definedName>
    <definedName name="_xlnm._FilterDatabase" localSheetId="1" hidden="1">Tabelas!$A$1:$D$26</definedName>
    <definedName name="_xlnm._FilterDatabase" localSheetId="27" hidden="1">'Tipo Animal'!$A$2:$C$14</definedName>
    <definedName name="_xlnm._FilterDatabase" localSheetId="26" hidden="1">'Tipo Receita'!$A$2:$C$3</definedName>
    <definedName name="_Machos">OFFSET(#REF!,,,COUNTA(#REF!))</definedName>
    <definedName name="_Medicamento">OFFSET([1]Medicamento!$B$3,,,COUNTA([1]Medicamento!$A$3:$A$100000))</definedName>
    <definedName name="_Origem">OFFSET(#REF!,,,COUNTA(#REF!))</definedName>
    <definedName name="_Pasto">OFFSET(#REF!,,,COUNTA(#REF!))</definedName>
    <definedName name="_Raca">OFFSET(#REF!,,,COUNTA(#REF!))</definedName>
    <definedName name="_Sanidade">OFFSET([1]Sanidade!$B$3,,,COUNTA([1]Sanidade!$A$3:$A$100000))</definedName>
    <definedName name="_StatusAnimal">OFFSET(#REF!,,,COUNTA(#REF!))</definedName>
    <definedName name="_Tipo">OFFSET(#REF!,,,COUNTA(#REF!))</definedName>
    <definedName name="A">Inseminação!$D$6</definedName>
    <definedName name="AA">'Entradas Produtos'!$AI$1:$AI$2</definedName>
    <definedName name="ANIMAIS">Animal!$A$2:$AA$1048576</definedName>
    <definedName name="Arquivo">Fonte!$B$2</definedName>
    <definedName name="Local" localSheetId="20">#REF!</definedName>
    <definedName name="Local" localSheetId="1">#REF!</definedName>
    <definedName name="Local" localSheetId="26">#REF!</definedName>
    <definedName name="Local">Fonte!#REF!</definedName>
    <definedName name="Z">Inseminação!$D$6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" i="18" l="1"/>
  <c r="M24" i="18"/>
  <c r="L24" i="18"/>
  <c r="K24" i="18"/>
  <c r="J24" i="18"/>
  <c r="I24" i="18"/>
  <c r="H24" i="18"/>
  <c r="G24" i="18"/>
  <c r="F24" i="18"/>
  <c r="E24" i="18"/>
  <c r="D24" i="18"/>
  <c r="C24" i="18"/>
  <c r="W3" i="16" l="1"/>
  <c r="W4" i="16"/>
  <c r="W5" i="16"/>
  <c r="W6" i="16"/>
  <c r="W7" i="16"/>
  <c r="W8" i="16"/>
  <c r="W9" i="16"/>
  <c r="W10" i="16"/>
  <c r="W11" i="16"/>
  <c r="W12" i="16"/>
  <c r="W13" i="16"/>
  <c r="Y3" i="16"/>
  <c r="AA3" i="16"/>
  <c r="AB3" i="16"/>
  <c r="AC3" i="16"/>
  <c r="AD3" i="16"/>
  <c r="AE3" i="16"/>
  <c r="AF3" i="16"/>
  <c r="AG3" i="16"/>
  <c r="AH3" i="16"/>
  <c r="Y4" i="16"/>
  <c r="AA4" i="16"/>
  <c r="AB4" i="16"/>
  <c r="AC4" i="16"/>
  <c r="AD4" i="16"/>
  <c r="AE4" i="16"/>
  <c r="AF4" i="16"/>
  <c r="AG4" i="16"/>
  <c r="AH4" i="16"/>
  <c r="Y5" i="16"/>
  <c r="AA5" i="16"/>
  <c r="AB5" i="16"/>
  <c r="AC5" i="16"/>
  <c r="AD5" i="16"/>
  <c r="AE5" i="16"/>
  <c r="AF5" i="16"/>
  <c r="AG5" i="16"/>
  <c r="AH5" i="16"/>
  <c r="Y6" i="16"/>
  <c r="AA6" i="16"/>
  <c r="AB6" i="16"/>
  <c r="AC6" i="16"/>
  <c r="AD6" i="16"/>
  <c r="AE6" i="16"/>
  <c r="AF6" i="16"/>
  <c r="AG6" i="16"/>
  <c r="AH6" i="16"/>
  <c r="Y7" i="16"/>
  <c r="AA7" i="16"/>
  <c r="AB7" i="16"/>
  <c r="AC7" i="16"/>
  <c r="AD7" i="16"/>
  <c r="AE7" i="16"/>
  <c r="AF7" i="16"/>
  <c r="AG7" i="16"/>
  <c r="AH7" i="16"/>
  <c r="Y8" i="16"/>
  <c r="AA8" i="16"/>
  <c r="AB8" i="16"/>
  <c r="AC8" i="16"/>
  <c r="AD8" i="16"/>
  <c r="AE8" i="16"/>
  <c r="AF8" i="16"/>
  <c r="AG8" i="16"/>
  <c r="AH8" i="16"/>
  <c r="Y9" i="16"/>
  <c r="AA9" i="16"/>
  <c r="AB9" i="16"/>
  <c r="AC9" i="16"/>
  <c r="AD9" i="16"/>
  <c r="AE9" i="16"/>
  <c r="AF9" i="16"/>
  <c r="AG9" i="16"/>
  <c r="AH9" i="16"/>
  <c r="Y10" i="16"/>
  <c r="AA10" i="16"/>
  <c r="AB10" i="16"/>
  <c r="AC10" i="16"/>
  <c r="AD10" i="16"/>
  <c r="AE10" i="16"/>
  <c r="AF10" i="16"/>
  <c r="AG10" i="16"/>
  <c r="AH10" i="16"/>
  <c r="Y11" i="16"/>
  <c r="AA11" i="16"/>
  <c r="AB11" i="16"/>
  <c r="AC11" i="16"/>
  <c r="AD11" i="16"/>
  <c r="AE11" i="16"/>
  <c r="AF11" i="16"/>
  <c r="AG11" i="16"/>
  <c r="AH11" i="16"/>
  <c r="Y12" i="16"/>
  <c r="AA12" i="16"/>
  <c r="AB12" i="16"/>
  <c r="AC12" i="16"/>
  <c r="AD12" i="16"/>
  <c r="AE12" i="16"/>
  <c r="AF12" i="16"/>
  <c r="AG12" i="16"/>
  <c r="AH12" i="16"/>
  <c r="Y13" i="16"/>
  <c r="AA13" i="16"/>
  <c r="AB13" i="16"/>
  <c r="AC13" i="16"/>
  <c r="AD13" i="16"/>
  <c r="AE13" i="16"/>
  <c r="AF13" i="16"/>
  <c r="AG13" i="16"/>
  <c r="AH13" i="16"/>
  <c r="L4" i="21"/>
  <c r="L3" i="21"/>
  <c r="K4" i="16"/>
  <c r="K5" i="16"/>
  <c r="K6" i="16"/>
  <c r="K7" i="16"/>
  <c r="K8" i="16"/>
  <c r="K9" i="16"/>
  <c r="K10" i="16"/>
  <c r="K11" i="16"/>
  <c r="K12" i="16"/>
  <c r="K13" i="16"/>
  <c r="L4" i="16"/>
  <c r="Z4" i="16" s="1"/>
  <c r="L5" i="16"/>
  <c r="Z5" i="16" s="1"/>
  <c r="L6" i="16"/>
  <c r="Z6" i="16" s="1"/>
  <c r="L7" i="16"/>
  <c r="Z7" i="16" s="1"/>
  <c r="L8" i="16"/>
  <c r="Z8" i="16" s="1"/>
  <c r="L9" i="16"/>
  <c r="Z9" i="16" s="1"/>
  <c r="L10" i="16"/>
  <c r="Z10" i="16" s="1"/>
  <c r="L11" i="16"/>
  <c r="Z11" i="16" s="1"/>
  <c r="L12" i="16"/>
  <c r="Z12" i="16" s="1"/>
  <c r="L13" i="16"/>
  <c r="Z13" i="16" s="1"/>
  <c r="X13" i="16"/>
  <c r="X12" i="16"/>
  <c r="G23" i="7" l="1"/>
  <c r="G22" i="7"/>
  <c r="G21" i="7"/>
  <c r="K3" i="16"/>
  <c r="AA141" i="17"/>
  <c r="Z141" i="17"/>
  <c r="Y141" i="17"/>
  <c r="X141" i="17"/>
  <c r="W141" i="17"/>
  <c r="V141" i="17"/>
  <c r="U141" i="17"/>
  <c r="T141" i="17"/>
  <c r="S141" i="17"/>
  <c r="R141" i="17"/>
  <c r="Q141" i="17"/>
  <c r="P141" i="17"/>
  <c r="AA138" i="17"/>
  <c r="Z138" i="17"/>
  <c r="Y138" i="17"/>
  <c r="X138" i="17"/>
  <c r="W138" i="17"/>
  <c r="V138" i="17"/>
  <c r="U138" i="17"/>
  <c r="T138" i="17"/>
  <c r="S138" i="17"/>
  <c r="R138" i="17"/>
  <c r="Q138" i="17"/>
  <c r="P138" i="17"/>
  <c r="AA130" i="17"/>
  <c r="Z130" i="17"/>
  <c r="Y130" i="17"/>
  <c r="X130" i="17"/>
  <c r="W130" i="17"/>
  <c r="V130" i="17"/>
  <c r="U130" i="17"/>
  <c r="T130" i="17"/>
  <c r="S130" i="17"/>
  <c r="R130" i="17"/>
  <c r="Q130" i="17"/>
  <c r="P130" i="17"/>
  <c r="G128" i="17"/>
  <c r="P136" i="17"/>
  <c r="Q136" i="17"/>
  <c r="P61" i="17"/>
  <c r="O61" i="17"/>
  <c r="N61" i="17"/>
  <c r="M61" i="17"/>
  <c r="L61" i="17"/>
  <c r="K61" i="17"/>
  <c r="J61" i="17"/>
  <c r="I61" i="17"/>
  <c r="R136" i="17" l="1"/>
  <c r="AA132" i="17"/>
  <c r="AA134" i="17" s="1"/>
  <c r="Z132" i="17"/>
  <c r="Z134" i="17" s="1"/>
  <c r="Y132" i="17"/>
  <c r="Y134" i="17" s="1"/>
  <c r="X132" i="17"/>
  <c r="X134" i="17" s="1"/>
  <c r="W132" i="17"/>
  <c r="W134" i="17" s="1"/>
  <c r="V132" i="17"/>
  <c r="V134" i="17" s="1"/>
  <c r="U132" i="17"/>
  <c r="U134" i="17" s="1"/>
  <c r="T132" i="17"/>
  <c r="T134" i="17" s="1"/>
  <c r="S132" i="17"/>
  <c r="S134" i="17" s="1"/>
  <c r="R132" i="17"/>
  <c r="R134" i="17" s="1"/>
  <c r="Q132" i="17"/>
  <c r="Q134" i="17" s="1"/>
  <c r="P132" i="17"/>
  <c r="P134" i="17" s="1"/>
  <c r="S136" i="17" l="1"/>
  <c r="N46" i="17"/>
  <c r="N45" i="17"/>
  <c r="N44" i="17"/>
  <c r="N43" i="17"/>
  <c r="N42" i="17"/>
  <c r="N41" i="17"/>
  <c r="N40" i="17"/>
  <c r="N39" i="17"/>
  <c r="N38" i="17"/>
  <c r="N37" i="17"/>
  <c r="N36" i="17"/>
  <c r="N35" i="17"/>
  <c r="K46" i="17"/>
  <c r="K45" i="17"/>
  <c r="K44" i="17"/>
  <c r="K43" i="17"/>
  <c r="K42" i="17"/>
  <c r="K41" i="17"/>
  <c r="K40" i="17"/>
  <c r="K39" i="17"/>
  <c r="K38" i="17"/>
  <c r="K37" i="17"/>
  <c r="K36" i="17"/>
  <c r="X11" i="16"/>
  <c r="L3" i="16"/>
  <c r="Z3" i="16" s="1"/>
  <c r="X10" i="16"/>
  <c r="T136" i="17" l="1"/>
  <c r="U136" i="17" l="1"/>
  <c r="X9" i="16"/>
  <c r="V136" i="17" l="1"/>
  <c r="X8" i="16"/>
  <c r="X7" i="16"/>
  <c r="W136" i="17" l="1"/>
  <c r="X6" i="16"/>
  <c r="X136" i="17" l="1"/>
  <c r="Y136" i="17" l="1"/>
  <c r="AA136" i="17" l="1"/>
  <c r="Z136" i="17"/>
  <c r="X3" i="16"/>
  <c r="X4" i="16"/>
  <c r="X5" i="16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E2" i="18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E108" i="17"/>
  <c r="E107" i="17"/>
  <c r="E106" i="17"/>
  <c r="E105" i="17"/>
  <c r="E104" i="17"/>
  <c r="E103" i="17"/>
  <c r="E102" i="17"/>
  <c r="E101" i="17"/>
  <c r="E100" i="17"/>
  <c r="E99" i="17"/>
  <c r="E98" i="17"/>
  <c r="E97" i="17"/>
  <c r="E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4" i="21" l="1"/>
  <c r="B4" i="21"/>
  <c r="D124" i="17"/>
  <c r="F124" i="17" s="1"/>
  <c r="D123" i="17"/>
  <c r="F123" i="17" s="1"/>
  <c r="D122" i="17"/>
  <c r="F122" i="17" s="1"/>
  <c r="D121" i="17"/>
  <c r="F121" i="17" s="1"/>
  <c r="D120" i="17"/>
  <c r="F120" i="17" s="1"/>
  <c r="D119" i="17"/>
  <c r="F119" i="17" s="1"/>
  <c r="D118" i="17"/>
  <c r="F118" i="17" s="1"/>
  <c r="D117" i="17"/>
  <c r="F117" i="17" s="1"/>
  <c r="D116" i="17"/>
  <c r="F116" i="17" s="1"/>
  <c r="D115" i="17"/>
  <c r="F115" i="17" s="1"/>
  <c r="D114" i="17"/>
  <c r="F114" i="17" s="1"/>
  <c r="D113" i="17"/>
  <c r="F113" i="17" s="1"/>
  <c r="D112" i="17"/>
  <c r="F112" i="17" s="1"/>
  <c r="D111" i="17"/>
  <c r="F111" i="17" s="1"/>
  <c r="D110" i="17"/>
  <c r="F110" i="17" s="1"/>
  <c r="D109" i="17"/>
  <c r="F109" i="17" s="1"/>
  <c r="D108" i="17"/>
  <c r="F108" i="17" s="1"/>
  <c r="D107" i="17"/>
  <c r="F107" i="17" s="1"/>
  <c r="D106" i="17"/>
  <c r="F106" i="17" s="1"/>
  <c r="D105" i="17"/>
  <c r="F105" i="17" s="1"/>
  <c r="D104" i="17"/>
  <c r="F104" i="17" s="1"/>
  <c r="D103" i="17"/>
  <c r="F103" i="17" s="1"/>
  <c r="D102" i="17"/>
  <c r="F102" i="17" s="1"/>
  <c r="D101" i="17"/>
  <c r="F101" i="17" s="1"/>
  <c r="D100" i="17"/>
  <c r="F100" i="17" s="1"/>
  <c r="D99" i="17"/>
  <c r="F99" i="17" s="1"/>
  <c r="D98" i="17"/>
  <c r="F98" i="17" s="1"/>
  <c r="D97" i="17"/>
  <c r="F97" i="17" s="1"/>
  <c r="D96" i="17"/>
  <c r="F96" i="17" s="1"/>
  <c r="D95" i="17"/>
  <c r="F95" i="17" s="1"/>
  <c r="D94" i="17"/>
  <c r="F94" i="17" s="1"/>
  <c r="D93" i="17"/>
  <c r="F93" i="17" s="1"/>
  <c r="D92" i="17"/>
  <c r="F92" i="17" s="1"/>
  <c r="D91" i="17"/>
  <c r="F91" i="17" s="1"/>
  <c r="D90" i="17"/>
  <c r="F90" i="17" s="1"/>
  <c r="D89" i="17"/>
  <c r="F89" i="17" s="1"/>
  <c r="D88" i="17"/>
  <c r="F88" i="17" s="1"/>
  <c r="D87" i="17"/>
  <c r="F87" i="17" s="1"/>
  <c r="D86" i="17"/>
  <c r="F86" i="17" s="1"/>
  <c r="D85" i="17"/>
  <c r="F85" i="17" s="1"/>
  <c r="D84" i="17"/>
  <c r="F84" i="17" s="1"/>
  <c r="D83" i="17"/>
  <c r="F83" i="17" s="1"/>
  <c r="D82" i="17"/>
  <c r="F82" i="17" s="1"/>
  <c r="D81" i="17"/>
  <c r="F81" i="17" s="1"/>
  <c r="D80" i="17"/>
  <c r="F80" i="17" s="1"/>
  <c r="D79" i="17"/>
  <c r="F79" i="17" s="1"/>
  <c r="D78" i="17"/>
  <c r="F78" i="17" s="1"/>
  <c r="D77" i="17"/>
  <c r="F77" i="17" s="1"/>
  <c r="D76" i="17"/>
  <c r="F76" i="17" s="1"/>
  <c r="D75" i="17"/>
  <c r="F75" i="17" s="1"/>
  <c r="D74" i="17"/>
  <c r="F74" i="17" s="1"/>
  <c r="D73" i="17"/>
  <c r="F73" i="17" s="1"/>
  <c r="D72" i="17"/>
  <c r="F72" i="17" s="1"/>
  <c r="D71" i="17"/>
  <c r="F71" i="17" s="1"/>
  <c r="D70" i="17"/>
  <c r="F70" i="17" s="1"/>
  <c r="D69" i="17"/>
  <c r="F69" i="17" s="1"/>
  <c r="D68" i="17"/>
  <c r="F68" i="17" s="1"/>
  <c r="D67" i="17"/>
  <c r="F67" i="17" s="1"/>
  <c r="D66" i="17"/>
  <c r="F66" i="17" s="1"/>
  <c r="D65" i="17"/>
  <c r="F65" i="17" s="1"/>
  <c r="D64" i="17"/>
  <c r="F64" i="17" s="1"/>
  <c r="D63" i="17"/>
  <c r="F63" i="17" s="1"/>
  <c r="D62" i="17"/>
  <c r="F62" i="17" s="1"/>
  <c r="D61" i="17"/>
  <c r="F61" i="17" s="1"/>
  <c r="D60" i="17"/>
  <c r="F60" i="17" s="1"/>
  <c r="D59" i="17"/>
  <c r="F59" i="17" s="1"/>
  <c r="D58" i="17"/>
  <c r="F58" i="17" s="1"/>
  <c r="D57" i="17"/>
  <c r="F57" i="17" s="1"/>
  <c r="D56" i="17"/>
  <c r="F56" i="17" s="1"/>
  <c r="D55" i="17"/>
  <c r="F55" i="17" s="1"/>
  <c r="D54" i="17"/>
  <c r="F54" i="17" s="1"/>
  <c r="D53" i="17"/>
  <c r="F53" i="17" s="1"/>
  <c r="D52" i="17"/>
  <c r="F52" i="17" s="1"/>
  <c r="D51" i="17"/>
  <c r="F51" i="17" s="1"/>
  <c r="D50" i="17"/>
  <c r="F50" i="17" s="1"/>
  <c r="D49" i="17"/>
  <c r="F49" i="17" s="1"/>
  <c r="D48" i="17"/>
  <c r="F48" i="17" s="1"/>
  <c r="D47" i="17"/>
  <c r="F47" i="17" s="1"/>
  <c r="D46" i="17"/>
  <c r="F46" i="17" s="1"/>
  <c r="D45" i="17"/>
  <c r="F45" i="17" s="1"/>
  <c r="D44" i="17"/>
  <c r="F44" i="17" s="1"/>
  <c r="D43" i="17"/>
  <c r="F43" i="17" s="1"/>
  <c r="D42" i="17"/>
  <c r="F42" i="17" s="1"/>
  <c r="D41" i="17"/>
  <c r="F41" i="17" s="1"/>
  <c r="D40" i="17"/>
  <c r="F40" i="17" s="1"/>
  <c r="D39" i="17"/>
  <c r="F39" i="17" s="1"/>
  <c r="D38" i="17"/>
  <c r="F38" i="17" s="1"/>
  <c r="D37" i="17"/>
  <c r="F37" i="17" s="1"/>
  <c r="D36" i="17"/>
  <c r="F36" i="17" s="1"/>
  <c r="D35" i="17"/>
  <c r="F35" i="17" s="1"/>
  <c r="D34" i="17"/>
  <c r="F34" i="17" s="1"/>
  <c r="D33" i="17"/>
  <c r="F33" i="17" s="1"/>
  <c r="D32" i="17"/>
  <c r="F32" i="17" s="1"/>
  <c r="D31" i="17"/>
  <c r="F31" i="17" s="1"/>
  <c r="D30" i="17"/>
  <c r="F30" i="17" s="1"/>
  <c r="D29" i="17"/>
  <c r="F29" i="17" s="1"/>
  <c r="D28" i="17"/>
  <c r="F28" i="17" s="1"/>
  <c r="D27" i="17"/>
  <c r="F27" i="17" s="1"/>
  <c r="D26" i="17"/>
  <c r="F26" i="17" s="1"/>
  <c r="D25" i="17"/>
  <c r="F25" i="17" s="1"/>
  <c r="D24" i="17"/>
  <c r="F24" i="17" s="1"/>
  <c r="D23" i="17"/>
  <c r="F23" i="17" s="1"/>
  <c r="D22" i="17"/>
  <c r="F22" i="17" s="1"/>
  <c r="D21" i="17"/>
  <c r="F21" i="17" s="1"/>
  <c r="D20" i="17"/>
  <c r="F20" i="17" s="1"/>
  <c r="D19" i="17"/>
  <c r="F19" i="17" s="1"/>
  <c r="D18" i="17"/>
  <c r="F18" i="17" s="1"/>
  <c r="D17" i="17"/>
  <c r="F17" i="17" s="1"/>
  <c r="D16" i="17"/>
  <c r="F16" i="17" s="1"/>
  <c r="D15" i="17"/>
  <c r="F15" i="17" s="1"/>
  <c r="D14" i="17"/>
  <c r="F14" i="17" s="1"/>
  <c r="D13" i="17"/>
  <c r="F13" i="17" s="1"/>
  <c r="D12" i="17"/>
  <c r="F12" i="17" s="1"/>
  <c r="D11" i="17"/>
  <c r="F11" i="17" s="1"/>
  <c r="D10" i="17"/>
  <c r="F10" i="17" s="1"/>
  <c r="D9" i="17"/>
  <c r="F9" i="17" s="1"/>
  <c r="D8" i="17"/>
  <c r="F8" i="17" s="1"/>
  <c r="D7" i="17"/>
  <c r="F7" i="17" s="1"/>
  <c r="D6" i="17"/>
  <c r="F6" i="17" s="1"/>
  <c r="D5" i="17"/>
  <c r="F5" i="17" s="1"/>
  <c r="D4" i="17"/>
  <c r="F4" i="17" s="1"/>
  <c r="D3" i="17"/>
  <c r="F3" i="17" s="1"/>
  <c r="G10" i="7" l="1"/>
  <c r="G26" i="7"/>
  <c r="N104" i="7"/>
  <c r="N100" i="7"/>
  <c r="G24" i="7"/>
  <c r="G20" i="7"/>
  <c r="G25" i="7" l="1"/>
  <c r="G17" i="7"/>
  <c r="G9" i="7"/>
  <c r="G18" i="7"/>
  <c r="G19" i="7"/>
  <c r="H17" i="7" l="1"/>
  <c r="I17" i="7" s="1"/>
  <c r="N102" i="7"/>
  <c r="G15" i="7" l="1"/>
  <c r="H15" i="7" s="1"/>
  <c r="I15" i="7" s="1"/>
  <c r="G4" i="7" l="1"/>
  <c r="H4" i="7" s="1"/>
  <c r="I4" i="7" s="1"/>
  <c r="G5" i="7"/>
  <c r="H5" i="7" s="1"/>
  <c r="I5" i="7" s="1"/>
  <c r="G2" i="7"/>
  <c r="G3" i="7"/>
  <c r="H3" i="7" s="1"/>
  <c r="I3" i="7" s="1"/>
  <c r="G11" i="7"/>
  <c r="H11" i="7" s="1"/>
  <c r="I11" i="7" s="1"/>
  <c r="G12" i="7"/>
  <c r="H12" i="7" s="1"/>
  <c r="I12" i="7" s="1"/>
  <c r="G16" i="7"/>
  <c r="H16" i="7" s="1"/>
  <c r="I16" i="7" s="1"/>
  <c r="G6" i="7"/>
  <c r="H6" i="7" s="1"/>
  <c r="I6" i="7" s="1"/>
  <c r="G7" i="7"/>
  <c r="H7" i="7" s="1"/>
  <c r="I7" i="7" s="1"/>
  <c r="G8" i="7"/>
  <c r="H8" i="7" s="1"/>
  <c r="I8" i="7" s="1"/>
  <c r="H10" i="7"/>
  <c r="I10" i="7" s="1"/>
  <c r="G13" i="7"/>
  <c r="H13" i="7" s="1"/>
  <c r="I13" i="7" s="1"/>
  <c r="G14" i="7"/>
  <c r="H14" i="7" s="1"/>
  <c r="I14" i="7" s="1"/>
  <c r="N82" i="7" l="1"/>
  <c r="N70" i="7"/>
  <c r="N58" i="7"/>
  <c r="N46" i="7"/>
  <c r="N34" i="7"/>
  <c r="N22" i="7"/>
  <c r="N10" i="7"/>
  <c r="N20" i="7"/>
  <c r="N93" i="7"/>
  <c r="N81" i="7"/>
  <c r="N69" i="7"/>
  <c r="N57" i="7"/>
  <c r="N45" i="7"/>
  <c r="N9" i="7"/>
  <c r="N92" i="7"/>
  <c r="N80" i="7"/>
  <c r="N68" i="7"/>
  <c r="N56" i="7"/>
  <c r="N44" i="7"/>
  <c r="N32" i="7"/>
  <c r="N91" i="7"/>
  <c r="N79" i="7"/>
  <c r="N67" i="7"/>
  <c r="N55" i="7"/>
  <c r="N43" i="7"/>
  <c r="N31" i="7"/>
  <c r="N19" i="7"/>
  <c r="N7" i="7"/>
  <c r="N30" i="7"/>
  <c r="N90" i="7"/>
  <c r="N78" i="7"/>
  <c r="N66" i="7"/>
  <c r="N54" i="7"/>
  <c r="N42" i="7"/>
  <c r="N18" i="7"/>
  <c r="N89" i="7"/>
  <c r="N77" i="7"/>
  <c r="N65" i="7"/>
  <c r="N53" i="7"/>
  <c r="N41" i="7"/>
  <c r="N29" i="7"/>
  <c r="N17" i="7"/>
  <c r="N5" i="7"/>
  <c r="N8" i="7"/>
  <c r="N88" i="7"/>
  <c r="N76" i="7"/>
  <c r="N64" i="7"/>
  <c r="N52" i="7"/>
  <c r="N40" i="7"/>
  <c r="N28" i="7"/>
  <c r="N16" i="7"/>
  <c r="N4" i="7"/>
  <c r="N75" i="7"/>
  <c r="N63" i="7"/>
  <c r="N51" i="7"/>
  <c r="N27" i="7"/>
  <c r="N3" i="7"/>
  <c r="N6" i="7"/>
  <c r="N87" i="7"/>
  <c r="N39" i="7"/>
  <c r="N15" i="7"/>
  <c r="N86" i="7"/>
  <c r="N74" i="7"/>
  <c r="N62" i="7"/>
  <c r="N50" i="7"/>
  <c r="N38" i="7"/>
  <c r="N26" i="7"/>
  <c r="N14" i="7"/>
  <c r="N2" i="7"/>
  <c r="N59" i="7"/>
  <c r="N23" i="7"/>
  <c r="N21" i="7"/>
  <c r="N85" i="7"/>
  <c r="N73" i="7"/>
  <c r="N61" i="7"/>
  <c r="N49" i="7"/>
  <c r="N37" i="7"/>
  <c r="N25" i="7"/>
  <c r="N13" i="7"/>
  <c r="N1" i="7"/>
  <c r="N71" i="7"/>
  <c r="N47" i="7"/>
  <c r="N11" i="7"/>
  <c r="N33" i="7"/>
  <c r="N84" i="7"/>
  <c r="N72" i="7"/>
  <c r="N60" i="7"/>
  <c r="N48" i="7"/>
  <c r="N36" i="7"/>
  <c r="N24" i="7"/>
  <c r="N12" i="7"/>
  <c r="N83" i="7"/>
  <c r="N35" i="7"/>
  <c r="H9" i="7"/>
  <c r="I9" i="7" s="1"/>
  <c r="H2" i="7"/>
  <c r="I2" i="7" s="1"/>
</calcChain>
</file>

<file path=xl/sharedStrings.xml><?xml version="1.0" encoding="utf-8"?>
<sst xmlns="http://schemas.openxmlformats.org/spreadsheetml/2006/main" count="1374" uniqueCount="549">
  <si>
    <t>Sanidade</t>
  </si>
  <si>
    <t>ID</t>
  </si>
  <si>
    <t>Ação</t>
  </si>
  <si>
    <t>MEDICAMENTO</t>
  </si>
  <si>
    <t>VACINA</t>
  </si>
  <si>
    <t>VERMIFUGO</t>
  </si>
  <si>
    <t>Status Animal</t>
  </si>
  <si>
    <t>Status</t>
  </si>
  <si>
    <t>MORTO</t>
  </si>
  <si>
    <t>VENDIDO</t>
  </si>
  <si>
    <t>ABATIDO CONSUMO</t>
  </si>
  <si>
    <t>Tipo Receita</t>
  </si>
  <si>
    <t>Receita</t>
  </si>
  <si>
    <t>VENDAS</t>
  </si>
  <si>
    <t>Tipo Animal</t>
  </si>
  <si>
    <t>Tipo</t>
  </si>
  <si>
    <t>TOURO REPRODUTOR</t>
  </si>
  <si>
    <t>TOURO REFUGO</t>
  </si>
  <si>
    <t>VACA REFUGO</t>
  </si>
  <si>
    <t>Local do arquivo</t>
  </si>
  <si>
    <t>Tabela</t>
  </si>
  <si>
    <t>Feito?</t>
  </si>
  <si>
    <t>Animais</t>
  </si>
  <si>
    <t>Painel</t>
  </si>
  <si>
    <t>gConexao</t>
  </si>
  <si>
    <t>AplicacaoMedicamento</t>
  </si>
  <si>
    <t>lsConectar</t>
  </si>
  <si>
    <t>Cliente</t>
  </si>
  <si>
    <t>strConexao</t>
  </si>
  <si>
    <t>Compra</t>
  </si>
  <si>
    <t>lCaminho</t>
  </si>
  <si>
    <t>Despesas</t>
  </si>
  <si>
    <t>lsDesconectar</t>
  </si>
  <si>
    <t>Fornecedor</t>
  </si>
  <si>
    <t>lsListarDados</t>
  </si>
  <si>
    <t>Inseminacao</t>
  </si>
  <si>
    <t>lrs</t>
  </si>
  <si>
    <t>Peso</t>
  </si>
  <si>
    <t>Venda</t>
  </si>
  <si>
    <t>lUltimaLinhaAtiva</t>
  </si>
  <si>
    <t>CausaMorte</t>
  </si>
  <si>
    <t>CadastroTIpo</t>
  </si>
  <si>
    <t>lsInserir</t>
  </si>
  <si>
    <t>Despesa</t>
  </si>
  <si>
    <t>lsAlterar</t>
  </si>
  <si>
    <t>Medicamento</t>
  </si>
  <si>
    <t>lsExcluir</t>
  </si>
  <si>
    <t>Origem</t>
  </si>
  <si>
    <t>lSQL</t>
  </si>
  <si>
    <t>Pasto</t>
  </si>
  <si>
    <t>LinhaDescrição</t>
  </si>
  <si>
    <t>Raca</t>
  </si>
  <si>
    <t>LinhaCódigo</t>
  </si>
  <si>
    <t>StatusAnimal</t>
  </si>
  <si>
    <t>Sim</t>
  </si>
  <si>
    <t>TipoReceita</t>
  </si>
  <si>
    <t>Raça</t>
  </si>
  <si>
    <t xml:space="preserve">NELORE </t>
  </si>
  <si>
    <t>ANGUS</t>
  </si>
  <si>
    <t>SENEPOL</t>
  </si>
  <si>
    <t>BRAHMAN</t>
  </si>
  <si>
    <t>CHAROLES</t>
  </si>
  <si>
    <t>JERSY</t>
  </si>
  <si>
    <t>Sitio</t>
  </si>
  <si>
    <t>Pastos</t>
  </si>
  <si>
    <t>SÃO SEBASTIÃOZINHO</t>
  </si>
  <si>
    <t>MARAVILHA</t>
  </si>
  <si>
    <t>P1</t>
  </si>
  <si>
    <t>P2</t>
  </si>
  <si>
    <t>Dim gConexao As ADODB.Connection</t>
  </si>
  <si>
    <t>Private Sub lsConectar()</t>
  </si>
  <si>
    <t xml:space="preserve">    Dim strConexao As String</t>
  </si>
  <si>
    <t xml:space="preserve">    Dim lCaminho   As String</t>
  </si>
  <si>
    <t xml:space="preserve">    Set gConexao = New ADODB.Connection</t>
  </si>
  <si>
    <t xml:space="preserve">    lCaminho = Configuracao.Range("B4").Value</t>
  </si>
  <si>
    <t xml:space="preserve">    </t>
  </si>
  <si>
    <t xml:space="preserve">    strConexao = "Provider=Microsoft.ACE.OLEDB.12.0;Data Source=" &amp; lCaminho &amp; ";Persist Security Info=False"</t>
  </si>
  <si>
    <t xml:space="preserve">    gConexao.Open strConexao</t>
  </si>
  <si>
    <t>End Sub</t>
  </si>
  <si>
    <t>Private Sub lsDesconectar()</t>
  </si>
  <si>
    <t xml:space="preserve">    If Not gConexao Is Nothing Then</t>
  </si>
  <si>
    <t xml:space="preserve">        gConexao.Close</t>
  </si>
  <si>
    <t xml:space="preserve">        Set gConexao = Nothing</t>
  </si>
  <si>
    <t xml:space="preserve">    End If</t>
  </si>
  <si>
    <t>Public Sub lsAtualizar()</t>
  </si>
  <si>
    <t xml:space="preserve">    Dim i                   As Long</t>
  </si>
  <si>
    <t xml:space="preserve">    Dim lUltimaLinhaAtiva   As Long</t>
  </si>
  <si>
    <t xml:space="preserve">    lUltimaLinhaAtiva = Worksheets("Status Animal").Cells(Worksheets("Status Animal").Rows.Count, 2).End(xlUp).Row</t>
  </si>
  <si>
    <t xml:space="preserve">    For i = 3 To lUltimaLinhaAtiva</t>
  </si>
  <si>
    <t xml:space="preserve">        Select Case Cells(i, 3).Value</t>
  </si>
  <si>
    <t xml:space="preserve">            Case "Inserir"</t>
  </si>
  <si>
    <t xml:space="preserve">                lsInserir Cells(i, 2)</t>
  </si>
  <si>
    <t xml:space="preserve">            Case "Alterar"</t>
  </si>
  <si>
    <t xml:space="preserve">                lsAlterar Cells(i, 2), Cells(i, 1)</t>
  </si>
  <si>
    <t xml:space="preserve">            Case "Excluir"</t>
  </si>
  <si>
    <t xml:space="preserve">                lsExcluir Cells(i, 1)</t>
  </si>
  <si>
    <t xml:space="preserve">        End Select</t>
  </si>
  <si>
    <t xml:space="preserve">    Next i</t>
  </si>
  <si>
    <t xml:space="preserve">    lsListarDados</t>
  </si>
  <si>
    <t>Public Sub lsInserir(ByVal LinhaDescrição As String)</t>
  </si>
  <si>
    <t xml:space="preserve">    Dim lSQL As String</t>
  </si>
  <si>
    <t xml:space="preserve">                      </t>
  </si>
  <si>
    <t xml:space="preserve">    lsConectar</t>
  </si>
  <si>
    <t xml:space="preserve">    "VALUES ( """ &amp; LinhaDescrição &amp; """)"</t>
  </si>
  <si>
    <t xml:space="preserve">    gConexao.Execute lSQL</t>
  </si>
  <si>
    <t xml:space="preserve">    lsDesconectar</t>
  </si>
  <si>
    <t>Public Sub lsAlterar(ByVal LinhaDescrição As String, ByVal LinhaCódigo As Long)</t>
  </si>
  <si>
    <t xml:space="preserve">    If LinhaCódigo &gt; 0 Then</t>
  </si>
  <si>
    <t xml:space="preserve">        lsConectar</t>
  </si>
  <si>
    <t xml:space="preserve">        </t>
  </si>
  <si>
    <t xml:space="preserve">        gConexao.Execute lSQL</t>
  </si>
  <si>
    <t xml:space="preserve">        lsDesconectar</t>
  </si>
  <si>
    <t>Public Sub lsExcluir(ByVal LinhaCódigo As Long)</t>
  </si>
  <si>
    <t xml:space="preserve">    Dim lSQL</t>
  </si>
  <si>
    <t>Public Sub lsListarDados()</t>
  </si>
  <si>
    <t xml:space="preserve">    Dim lrs As ADODB.Recordset</t>
  </si>
  <si>
    <t xml:space="preserve">    Set lrs = New ADODB.Recordset</t>
  </si>
  <si>
    <t xml:space="preserve">    Sheets("Status Animal").ListObjects("Tabela156").Resize Range("$A$2:$C$3")</t>
  </si>
  <si>
    <t xml:space="preserve">    Sheets("Status Animal").Range("a3:h1048576").ClearContents</t>
  </si>
  <si>
    <t xml:space="preserve">    Sheets("Status Animal").Cells(3, 1).CopyFromRecordset lrs</t>
  </si>
  <si>
    <t xml:space="preserve">    If Not lrs Is Nothing Then</t>
  </si>
  <si>
    <t xml:space="preserve">        lrs.Close</t>
  </si>
  <si>
    <t xml:space="preserve">        Set lrs = Nothing</t>
  </si>
  <si>
    <t xml:space="preserve"> i </t>
  </si>
  <si>
    <t xml:space="preserve"> i</t>
  </si>
  <si>
    <t>lsAtualizar</t>
  </si>
  <si>
    <t>(i,</t>
  </si>
  <si>
    <t>(i</t>
  </si>
  <si>
    <t xml:space="preserve">    lSQL = "INSERT INTO Animal ( desStatus )" &amp; _</t>
  </si>
  <si>
    <t>INTO Animal (</t>
  </si>
  <si>
    <t>desStatus</t>
  </si>
  <si>
    <t xml:space="preserve">    lrs.Open "Select * from Animal", gConexao</t>
  </si>
  <si>
    <t xml:space="preserve">        lSQL = "DELETE FROM Animal WHERE id = " &amp; LinhaCódigo</t>
  </si>
  <si>
    <t xml:space="preserve">        lSQL = "UPDATE Animal SET desStatus = """ &amp; LinhaDescrição &amp; """ where id = " &amp; LinhaCódigo</t>
  </si>
  <si>
    <t xml:space="preserve">UPDATE Animal </t>
  </si>
  <si>
    <t xml:space="preserve">FROM Animal </t>
  </si>
  <si>
    <t>Select * from Animal</t>
  </si>
  <si>
    <t>"Status Animal"</t>
  </si>
  <si>
    <t>Next i</t>
  </si>
  <si>
    <t>If ActiveSheet.Name = "Pastos" Then</t>
  </si>
  <si>
    <t>lsAtualizarTabPastos</t>
  </si>
  <si>
    <t>End If</t>
  </si>
  <si>
    <t xml:space="preserve">COMPRA </t>
  </si>
  <si>
    <t>NASCIMENTO</t>
  </si>
  <si>
    <t>TROCA</t>
  </si>
  <si>
    <t>PROPRIO</t>
  </si>
  <si>
    <t>Medicamentos</t>
  </si>
  <si>
    <t>VACINA CONTRA RAIVA</t>
  </si>
  <si>
    <t>VACINA CONTRA BRUCELOSE</t>
  </si>
  <si>
    <t>DECTOMAX</t>
  </si>
  <si>
    <t>UMBICURA</t>
  </si>
  <si>
    <t>AZIUM</t>
  </si>
  <si>
    <t>IVERMECTINA</t>
  </si>
  <si>
    <t>Tipo Despesa</t>
  </si>
  <si>
    <t>TRANSPORTE</t>
  </si>
  <si>
    <t>VETERINARIO</t>
  </si>
  <si>
    <t>SUPLEMENTAÇÃO</t>
  </si>
  <si>
    <t>Causa Da Morte</t>
  </si>
  <si>
    <t>Causa da morte</t>
  </si>
  <si>
    <t>COBRA</t>
  </si>
  <si>
    <t>ENROSCADA</t>
  </si>
  <si>
    <t>RAIO</t>
  </si>
  <si>
    <t>DOENÇA</t>
  </si>
  <si>
    <t>ABORTO</t>
  </si>
  <si>
    <t>CAUSAS EXTERNAS</t>
  </si>
  <si>
    <t>NÃO INDENTIFICADO</t>
  </si>
  <si>
    <t>ok</t>
  </si>
  <si>
    <t>precisa INNER</t>
  </si>
  <si>
    <t>idAnimal, numPeso, dtPeso</t>
  </si>
  <si>
    <t>Pesos</t>
  </si>
  <si>
    <t>Brinco</t>
  </si>
  <si>
    <t>Data</t>
  </si>
  <si>
    <t>ID Animal</t>
  </si>
  <si>
    <t>B1</t>
  </si>
  <si>
    <t>Categoria</t>
  </si>
  <si>
    <t>Lote</t>
  </si>
  <si>
    <t>Sexo</t>
  </si>
  <si>
    <t>Data Desmama</t>
  </si>
  <si>
    <t>Data Nascimento</t>
  </si>
  <si>
    <t>Idade</t>
  </si>
  <si>
    <t>Brinco do Pai</t>
  </si>
  <si>
    <t>Brinco da Mãe</t>
  </si>
  <si>
    <t>Data Entrada</t>
  </si>
  <si>
    <t>Observações</t>
  </si>
  <si>
    <t>Morte</t>
  </si>
  <si>
    <t>Data Morte</t>
  </si>
  <si>
    <t>FÊMEA</t>
  </si>
  <si>
    <t>B2</t>
  </si>
  <si>
    <t>B3</t>
  </si>
  <si>
    <t>BCONFIG</t>
  </si>
  <si>
    <t>BEZERRO</t>
  </si>
  <si>
    <t>BEZERRA</t>
  </si>
  <si>
    <t>BEZERRA DESMAMADA</t>
  </si>
  <si>
    <t>BEZERRO DESMAMADO</t>
  </si>
  <si>
    <t>GARROTE</t>
  </si>
  <si>
    <t>NOVILHA</t>
  </si>
  <si>
    <t>ATIVO</t>
  </si>
  <si>
    <t>BCONFIG2</t>
  </si>
  <si>
    <t>BCONFIG3</t>
  </si>
  <si>
    <t>BCONFIG4</t>
  </si>
  <si>
    <t>BCONFIG5</t>
  </si>
  <si>
    <t>Campo</t>
  </si>
  <si>
    <t>Dados SQL</t>
  </si>
  <si>
    <t>id</t>
  </si>
  <si>
    <t>numBrinco</t>
  </si>
  <si>
    <t>desLote</t>
  </si>
  <si>
    <t>idStatus</t>
  </si>
  <si>
    <t>idPasto</t>
  </si>
  <si>
    <t>idTipo</t>
  </si>
  <si>
    <t>desSexo</t>
  </si>
  <si>
    <t>idRaca</t>
  </si>
  <si>
    <t>dtDesmama</t>
  </si>
  <si>
    <t>idOrigem</t>
  </si>
  <si>
    <t>dtCompra</t>
  </si>
  <si>
    <t>dtNascimento</t>
  </si>
  <si>
    <t>numPesoInicial</t>
  </si>
  <si>
    <t>desDescricao</t>
  </si>
  <si>
    <t>numBrincoPai</t>
  </si>
  <si>
    <t>numBrincoMae</t>
  </si>
  <si>
    <t>dtDataEntrada</t>
  </si>
  <si>
    <t>desObservacoes</t>
  </si>
  <si>
    <t>dtMorte</t>
  </si>
  <si>
    <t>idCausaMorte</t>
  </si>
  <si>
    <t>numEID</t>
  </si>
  <si>
    <t>idAnimal</t>
  </si>
  <si>
    <t>idSanidade</t>
  </si>
  <si>
    <t>idMedicamento</t>
  </si>
  <si>
    <t>desUnidade</t>
  </si>
  <si>
    <t>dtData</t>
  </si>
  <si>
    <t>numQtde</t>
  </si>
  <si>
    <t>desObservacao</t>
  </si>
  <si>
    <t>desCausaMorte</t>
  </si>
  <si>
    <t>desNome</t>
  </si>
  <si>
    <t>numCPFCNPJ</t>
  </si>
  <si>
    <t>desEmail</t>
  </si>
  <si>
    <t>desUF</t>
  </si>
  <si>
    <t>desCidade</t>
  </si>
  <si>
    <t>desBairro</t>
  </si>
  <si>
    <t>desCEP</t>
  </si>
  <si>
    <t>desEndereco</t>
  </si>
  <si>
    <t>desFone</t>
  </si>
  <si>
    <t>desCelular</t>
  </si>
  <si>
    <t>numPedido</t>
  </si>
  <si>
    <t>numLote</t>
  </si>
  <si>
    <t>idFornecedor</t>
  </si>
  <si>
    <t>numDescricao</t>
  </si>
  <si>
    <t>numValor</t>
  </si>
  <si>
    <t>numValorTotal</t>
  </si>
  <si>
    <t>dtVencimento</t>
  </si>
  <si>
    <t>dtPagamento</t>
  </si>
  <si>
    <t>desDespesa</t>
  </si>
  <si>
    <t>idDespesa</t>
  </si>
  <si>
    <t>dtInseminacao</t>
  </si>
  <si>
    <t>desEfetivou</t>
  </si>
  <si>
    <t>dtCria</t>
  </si>
  <si>
    <t>qtdeCria</t>
  </si>
  <si>
    <t>desMedicamento</t>
  </si>
  <si>
    <t>desOrigem</t>
  </si>
  <si>
    <t>desPasto</t>
  </si>
  <si>
    <t>desSitio</t>
  </si>
  <si>
    <t>desTipo</t>
  </si>
  <si>
    <t>desCategoria</t>
  </si>
  <si>
    <t>numPeso</t>
  </si>
  <si>
    <t>dtPeso</t>
  </si>
  <si>
    <t>desRaca</t>
  </si>
  <si>
    <t>desSanidade</t>
  </si>
  <si>
    <t>TipoAnimal</t>
  </si>
  <si>
    <t>desTipoReceita</t>
  </si>
  <si>
    <t>dtVenda</t>
  </si>
  <si>
    <t>idCliente</t>
  </si>
  <si>
    <t>idTipoReceita</t>
  </si>
  <si>
    <t>vinculo</t>
  </si>
  <si>
    <t>INNER JOIN (tbUsuario INNER JOIN (tbTecnico INNER JOIN (tbMovimentacao INNER JOIN tbEquipamento_Movimentacao ON tbEquipamento.NUMERO_ATIVO = tbEquipamento_Movimentacao.NUMERO_ATIVO_FK) ON tbMovimentacao.COD_MOVIMENTACAO = tbEquipamento_Movimentacao.COD_MOVIMENTACAO_FK) ON tbTecnico.MATRICULA_TECNICO = tbMovimentacao.MATRICULA_TECNICO_FK)
 ONtbUsuario.MATRICULA_USUARIO = tbMovimentacao.MATICULA_USUARIO_FK)
 ON tbTipo_Movimentacao.COD_TIPO_MOVIMENTACAO = tbMovimentacao.COD_TIPO_MOVIMENTACAO_FK;</t>
  </si>
  <si>
    <t>CÓDIGO</t>
  </si>
  <si>
    <t>SERVICOS DE ESPECIALISTAS EM GENETICA</t>
  </si>
  <si>
    <t>DESCRIÇÃO</t>
  </si>
  <si>
    <t>QTD</t>
  </si>
  <si>
    <t>VLR UNITÁRIO</t>
  </si>
  <si>
    <t>VLR TOTAL</t>
  </si>
  <si>
    <t>1</t>
  </si>
  <si>
    <t xml:space="preserve">Cells(iAnimais, 2), </t>
  </si>
  <si>
    <t xml:space="preserve">Cells(iAnimais, 3), </t>
  </si>
  <si>
    <t xml:space="preserve">Cells(iAnimais, 4), </t>
  </si>
  <si>
    <t xml:space="preserve">Cells(iAnimais, 5), </t>
  </si>
  <si>
    <t xml:space="preserve">Cells(iAnimais, 6), </t>
  </si>
  <si>
    <t xml:space="preserve">Cells(iAnimais, 7), </t>
  </si>
  <si>
    <t xml:space="preserve">Cells(iAnimais, 8), </t>
  </si>
  <si>
    <t xml:space="preserve">Cells(iAnimais, 9), </t>
  </si>
  <si>
    <t xml:space="preserve">Cells(iAnimais, 10), </t>
  </si>
  <si>
    <t xml:space="preserve">Cells(iAnimais, 13), </t>
  </si>
  <si>
    <t xml:space="preserve">Cells(iAnimais, 14), </t>
  </si>
  <si>
    <t xml:space="preserve">Cells(iAnimais, 15), </t>
  </si>
  <si>
    <t xml:space="preserve">Cells(iAnimais, 16), </t>
  </si>
  <si>
    <t xml:space="preserve">Cells(iAnimais, 17), </t>
  </si>
  <si>
    <t xml:space="preserve">Cells(iAnimais, 18), </t>
  </si>
  <si>
    <t xml:space="preserve">Cells(iAnimais, 19), </t>
  </si>
  <si>
    <t xml:space="preserve">Cells(iAnimais, 20), </t>
  </si>
  <si>
    <t xml:space="preserve">Cells(iAnimais, 21), </t>
  </si>
  <si>
    <t xml:space="preserve">ByVal Brinco As String, </t>
  </si>
  <si>
    <t xml:space="preserve">ByVal Lote As String, </t>
  </si>
  <si>
    <t xml:space="preserve">ByVal Status As String, </t>
  </si>
  <si>
    <t xml:space="preserve">ByVal Sitio As String, </t>
  </si>
  <si>
    <t xml:space="preserve">ByVal Pasto As String, </t>
  </si>
  <si>
    <t xml:space="preserve">ByVal Tipo As String, </t>
  </si>
  <si>
    <t xml:space="preserve">ByVal Sexo As String, </t>
  </si>
  <si>
    <t xml:space="preserve">ByVal Raça As String, </t>
  </si>
  <si>
    <t xml:space="preserve">ByVal Origem As String, </t>
  </si>
  <si>
    <t xml:space="preserve">ByVal DataDesmama As Date, </t>
  </si>
  <si>
    <t xml:space="preserve">ByVal DataEntrada As Date, </t>
  </si>
  <si>
    <t xml:space="preserve">ByVal DataNascimento As Date, </t>
  </si>
  <si>
    <t xml:space="preserve">ByVal Peso As Long, </t>
  </si>
  <si>
    <t xml:space="preserve">ByVal BrincodoPai As String, </t>
  </si>
  <si>
    <t xml:space="preserve">ByVal BrincodaMãe As String, </t>
  </si>
  <si>
    <t xml:space="preserve">ByVal Observações As String, </t>
  </si>
  <si>
    <t xml:space="preserve">ByVal Morte As String, </t>
  </si>
  <si>
    <t xml:space="preserve">ByVal DataMorte As Date, </t>
  </si>
  <si>
    <t>""" &amp; Brinco &amp; """,</t>
  </si>
  <si>
    <t>""" &amp; Lote &amp; """,</t>
  </si>
  <si>
    <t>""" &amp; Status &amp; """,</t>
  </si>
  <si>
    <t>""" &amp; Sitio &amp; """,</t>
  </si>
  <si>
    <t>""" &amp; Pasto &amp; """,</t>
  </si>
  <si>
    <t>""" &amp; Tipo &amp; """,</t>
  </si>
  <si>
    <t>""" &amp; Sexo &amp; """,</t>
  </si>
  <si>
    <t>""" &amp; Raça &amp; """,</t>
  </si>
  <si>
    <t>""" &amp; Origem &amp; """,</t>
  </si>
  <si>
    <t>""" &amp; DataDesmama &amp; """,</t>
  </si>
  <si>
    <t>""" &amp; DataEntrada &amp; """,</t>
  </si>
  <si>
    <t>""" &amp; DataNascimento &amp; """,</t>
  </si>
  <si>
    <t>""" &amp; Peso &amp; """,</t>
  </si>
  <si>
    <t>""" &amp; BrincodoPai &amp; """,</t>
  </si>
  <si>
    <t>""" &amp; BrincodaMãe &amp; """,</t>
  </si>
  <si>
    <t>""" &amp; Observações &amp; """,</t>
  </si>
  <si>
    <t>""" &amp; Morte &amp; """,</t>
  </si>
  <si>
    <t>""" &amp; DataMorte &amp; """,</t>
  </si>
  <si>
    <t xml:space="preserve">numBrinco, </t>
  </si>
  <si>
    <t xml:space="preserve">desLote, </t>
  </si>
  <si>
    <t xml:space="preserve">idStatus, </t>
  </si>
  <si>
    <t xml:space="preserve">idSitio, </t>
  </si>
  <si>
    <t xml:space="preserve">idPasto, </t>
  </si>
  <si>
    <t xml:space="preserve">idTipo, </t>
  </si>
  <si>
    <t xml:space="preserve">desSexo, </t>
  </si>
  <si>
    <t xml:space="preserve">idRaca, </t>
  </si>
  <si>
    <t xml:space="preserve">idOrigem, </t>
  </si>
  <si>
    <t xml:space="preserve">dtDesmama, </t>
  </si>
  <si>
    <t xml:space="preserve">dtDataEntrada, </t>
  </si>
  <si>
    <t xml:space="preserve">dtNascimento, </t>
  </si>
  <si>
    <t xml:space="preserve">numPesoInicial, </t>
  </si>
  <si>
    <t xml:space="preserve">numBrincoMae, </t>
  </si>
  <si>
    <t xml:space="preserve">desObservacoes, </t>
  </si>
  <si>
    <t xml:space="preserve">idCausaMorte, </t>
  </si>
  <si>
    <t xml:space="preserve">dtMorte, </t>
  </si>
  <si>
    <t>BCONFIG6</t>
  </si>
  <si>
    <t>BCONFIG7</t>
  </si>
  <si>
    <t>BCONFIG8</t>
  </si>
  <si>
    <t>BCONFIG9</t>
  </si>
  <si>
    <t>BCONFIG10</t>
  </si>
  <si>
    <t>BCONFIG11</t>
  </si>
  <si>
    <t>BCONFIG102</t>
  </si>
  <si>
    <t>Coluna1</t>
  </si>
  <si>
    <t>Favor verificar o Sitio ou Brinco</t>
  </si>
  <si>
    <t>TOURO REPRODUTOR + 36 MESES</t>
  </si>
  <si>
    <t>B5</t>
  </si>
  <si>
    <t>B6</t>
  </si>
  <si>
    <t>B7</t>
  </si>
  <si>
    <t>B8</t>
  </si>
  <si>
    <t>VACA DESCARTE</t>
  </si>
  <si>
    <t>B10</t>
  </si>
  <si>
    <t>MACHO</t>
  </si>
  <si>
    <t>B15</t>
  </si>
  <si>
    <t>Receitas</t>
  </si>
  <si>
    <t>Data Venda</t>
  </si>
  <si>
    <t>Pedido</t>
  </si>
  <si>
    <t>Descrição</t>
  </si>
  <si>
    <t>Qtde</t>
  </si>
  <si>
    <t>Valor Unit.</t>
  </si>
  <si>
    <t>Valor Total</t>
  </si>
  <si>
    <t>Vencimento</t>
  </si>
  <si>
    <t>Data Pagamento</t>
  </si>
  <si>
    <t>Valor</t>
  </si>
  <si>
    <t>Observação</t>
  </si>
  <si>
    <t>Andamento</t>
  </si>
  <si>
    <t>Inseminação</t>
  </si>
  <si>
    <t>Efetivou</t>
  </si>
  <si>
    <t>Data Cria</t>
  </si>
  <si>
    <t>Qtde. Cria</t>
  </si>
  <si>
    <t>Fornecedores</t>
  </si>
  <si>
    <t>Nome / Razão Social</t>
  </si>
  <si>
    <t>CPF / CNPJ</t>
  </si>
  <si>
    <t>UF</t>
  </si>
  <si>
    <t>Cidade</t>
  </si>
  <si>
    <t>Bairro</t>
  </si>
  <si>
    <t>CEP</t>
  </si>
  <si>
    <t>Endereço</t>
  </si>
  <si>
    <t>Fone</t>
  </si>
  <si>
    <t>Celular</t>
  </si>
  <si>
    <t>Desenvolver</t>
  </si>
  <si>
    <t>Clientes</t>
  </si>
  <si>
    <t>Classe Medicamento</t>
  </si>
  <si>
    <t>Unidade</t>
  </si>
  <si>
    <t>Quantidade</t>
  </si>
  <si>
    <t>Dados</t>
  </si>
  <si>
    <t>E-mail</t>
  </si>
  <si>
    <t>("Tabela16")</t>
  </si>
  <si>
    <t>SÃO MARCELO</t>
  </si>
  <si>
    <t>11111111</t>
  </si>
  <si>
    <t>JEFERSONCOIMBRA19@GMAIL.COM</t>
  </si>
  <si>
    <t>MT</t>
  </si>
  <si>
    <t>JURUENA</t>
  </si>
  <si>
    <t>ZONA RURAL</t>
  </si>
  <si>
    <t>78340000</t>
  </si>
  <si>
    <t>COMPRA DE TOURO / BEZERROS</t>
  </si>
  <si>
    <t xml:space="preserve">Cells(iCliente, 2), </t>
  </si>
  <si>
    <t xml:space="preserve">Cells(iCliente, 3), </t>
  </si>
  <si>
    <t xml:space="preserve">Cells(iCliente, 4), </t>
  </si>
  <si>
    <t xml:space="preserve">Cells(iCliente, 5), </t>
  </si>
  <si>
    <t xml:space="preserve">Cells(iCliente, 6), </t>
  </si>
  <si>
    <t xml:space="preserve">Cells(iCliente, 7), </t>
  </si>
  <si>
    <t xml:space="preserve">Cells(iCliente, 8), </t>
  </si>
  <si>
    <t xml:space="preserve">Cells(iCliente, 9), </t>
  </si>
  <si>
    <t xml:space="preserve">Cells(iCliente, 10), </t>
  </si>
  <si>
    <t xml:space="preserve">Cells(iCliente, 11), </t>
  </si>
  <si>
    <t xml:space="preserve">Cells(iCliente, 12), </t>
  </si>
  <si>
    <t xml:space="preserve">id, </t>
  </si>
  <si>
    <t xml:space="preserve">desNome, </t>
  </si>
  <si>
    <t xml:space="preserve">numCPFCNPJ, </t>
  </si>
  <si>
    <t xml:space="preserve">desEmail, </t>
  </si>
  <si>
    <t xml:space="preserve">desUF, </t>
  </si>
  <si>
    <t xml:space="preserve">desCidade, </t>
  </si>
  <si>
    <t xml:space="preserve">desBairro, </t>
  </si>
  <si>
    <t xml:space="preserve">desCEP, </t>
  </si>
  <si>
    <t xml:space="preserve">desEndereco, </t>
  </si>
  <si>
    <t xml:space="preserve">desFone, </t>
  </si>
  <si>
    <t xml:space="preserve">desCelular, </t>
  </si>
  <si>
    <t xml:space="preserve">desObservacao, </t>
  </si>
  <si>
    <t xml:space="preserve">""" &amp; </t>
  </si>
  <si>
    <t xml:space="preserve"> &amp; """, </t>
  </si>
  <si>
    <t>1111111</t>
  </si>
  <si>
    <t>111111</t>
  </si>
  <si>
    <t>CONCLUÍDO</t>
  </si>
  <si>
    <t>SIM</t>
  </si>
  <si>
    <t/>
  </si>
  <si>
    <t>CONFIG1</t>
  </si>
  <si>
    <t>CONFIG2</t>
  </si>
  <si>
    <t>"SELECT DESPESAS.[ID], DESPESA.[desDespesa], FORNECEDOR.[desNome], DESPESAS.[desDescricao]," _
    &amp; "DESPESAS.[numValor], DESPESAS.[dtVencimento], DESPESAS.[dtPagamento], DESPESAS.[desObservacao] " _
    &amp; "FROM (((DESPESAS LEFT JOIN FORNECEDOR ON DESPESAS.idFornecedor = FORNECEDOR.ID) LEFT JOIN Despesa ON DESPESAS.idDespesa = Despesa.ID)"</t>
  </si>
  <si>
    <t>REFORMA</t>
  </si>
  <si>
    <t>TESTE</t>
  </si>
  <si>
    <t>COMPRA DE TINTA</t>
  </si>
  <si>
    <t>Long</t>
  </si>
  <si>
    <t>Date</t>
  </si>
  <si>
    <t>String</t>
  </si>
  <si>
    <t>DOSE</t>
  </si>
  <si>
    <t>PENDENTE</t>
  </si>
  <si>
    <t>CONFIG 1</t>
  </si>
  <si>
    <t>CONFIG 2</t>
  </si>
  <si>
    <t>CONFIG 3</t>
  </si>
  <si>
    <t>idSitio</t>
  </si>
  <si>
    <t>iAplMed</t>
  </si>
  <si>
    <t>AplMed</t>
  </si>
  <si>
    <t>Aplicação Medicamentos</t>
  </si>
  <si>
    <t>id, idAnimal, numBrinco, idSitio, desCategoria, desStatus, idSanidade, idMedicamento, desUnidade, dtData, numQtde, desObservacao</t>
  </si>
  <si>
    <t>ClasseMedicamento</t>
  </si>
  <si>
    <t>IDAnimal</t>
  </si>
  <si>
    <t xml:space="preserve">ID </t>
  </si>
  <si>
    <t>1º</t>
  </si>
  <si>
    <t xml:space="preserve">                                                                                Aplicação Medicamentos e Vacinas                              </t>
  </si>
  <si>
    <t>2 DOSE POR ANIMAL</t>
  </si>
  <si>
    <t>NOVILHA 25 A 36 MESES</t>
  </si>
  <si>
    <t>BEZERRO DESMAMADO 5 A 12 MESES</t>
  </si>
  <si>
    <t>BETOURO REPRODUTOR + 36 MESES</t>
  </si>
  <si>
    <t xml:space="preserve">VACA DE CRIA </t>
  </si>
  <si>
    <t>Nota Fiscal</t>
  </si>
  <si>
    <t>Produto</t>
  </si>
  <si>
    <t>Entradas Produtos</t>
  </si>
  <si>
    <t>Grupo</t>
  </si>
  <si>
    <t>MEDICAMENTOS</t>
  </si>
  <si>
    <t>Inserir</t>
  </si>
  <si>
    <t>Peças</t>
  </si>
  <si>
    <t>Insumos</t>
  </si>
  <si>
    <t>Alterar</t>
  </si>
  <si>
    <t xml:space="preserve">FILTRO TRATOR </t>
  </si>
  <si>
    <t>FILTRO KPG</t>
  </si>
  <si>
    <t>PORCA 3/4</t>
  </si>
  <si>
    <t>PARAFUSO SEXTAVADO 3/4</t>
  </si>
  <si>
    <t>SENSOR DE LAMINA</t>
  </si>
  <si>
    <t>SAL</t>
  </si>
  <si>
    <t>FOSFORO</t>
  </si>
  <si>
    <t>CALCARIO</t>
  </si>
  <si>
    <t>MILHO</t>
  </si>
  <si>
    <t>BAGAÇO DE CANA</t>
  </si>
  <si>
    <t>SOJA</t>
  </si>
  <si>
    <t>Combustíveis</t>
  </si>
  <si>
    <t>GASOLINA</t>
  </si>
  <si>
    <t>DIESEL</t>
  </si>
  <si>
    <t>ETANOL</t>
  </si>
  <si>
    <t>QUEROSENE</t>
  </si>
  <si>
    <t>PEÇAS</t>
  </si>
  <si>
    <t>INSUMOS BOVINOS</t>
  </si>
  <si>
    <t>COMBUSTÍVEIS</t>
  </si>
  <si>
    <t>Grupo de Produtos</t>
  </si>
  <si>
    <t>Unidades de Medidas</t>
  </si>
  <si>
    <t>UND</t>
  </si>
  <si>
    <t>KG</t>
  </si>
  <si>
    <t>LT</t>
  </si>
  <si>
    <t>PCT</t>
  </si>
  <si>
    <t>KIT</t>
  </si>
  <si>
    <t>UNIDADE</t>
  </si>
  <si>
    <t>KILOGRAMA</t>
  </si>
  <si>
    <t>LITRO</t>
  </si>
  <si>
    <t>PEÇA</t>
  </si>
  <si>
    <t>PACOTE</t>
  </si>
  <si>
    <t>PÇ</t>
  </si>
  <si>
    <t>METRO</t>
  </si>
  <si>
    <t>DS</t>
  </si>
  <si>
    <t>GRUPO</t>
  </si>
  <si>
    <t>Valor Unitário</t>
  </si>
  <si>
    <t>Data Vencimento</t>
  </si>
  <si>
    <t>Tipo Despesas</t>
  </si>
  <si>
    <t>ID Despesas</t>
  </si>
  <si>
    <t>Produtos</t>
  </si>
  <si>
    <t>IdTipoDespesas</t>
  </si>
  <si>
    <t>IdDespesas</t>
  </si>
  <si>
    <t>dtVenc</t>
  </si>
  <si>
    <t>dtEntrada</t>
  </si>
  <si>
    <t>numNota</t>
  </si>
  <si>
    <t>idGpProdutos</t>
  </si>
  <si>
    <t>idProduto</t>
  </si>
  <si>
    <t>idUnd</t>
  </si>
  <si>
    <t>qtd</t>
  </si>
  <si>
    <t>vlrUnit</t>
  </si>
  <si>
    <t>vlrTotal</t>
  </si>
  <si>
    <t xml:space="preserve"> = """ &amp; </t>
  </si>
  <si>
    <t xml:space="preserve"> TipoDespesas </t>
  </si>
  <si>
    <t xml:space="preserve"> IDDespesas </t>
  </si>
  <si>
    <t xml:space="preserve"> DataVencimento </t>
  </si>
  <si>
    <t xml:space="preserve"> DataEntrada  </t>
  </si>
  <si>
    <t xml:space="preserve"> NotaFiscal </t>
  </si>
  <si>
    <t xml:space="preserve"> Fornecedor </t>
  </si>
  <si>
    <t xml:space="preserve"> Grupo </t>
  </si>
  <si>
    <t xml:space="preserve"> Produto </t>
  </si>
  <si>
    <t xml:space="preserve"> Und </t>
  </si>
  <si>
    <t xml:space="preserve"> Quantidade </t>
  </si>
  <si>
    <t xml:space="preserve"> ValorUnitário </t>
  </si>
  <si>
    <t xml:space="preserve"> ValorTotal  </t>
  </si>
  <si>
    <t xml:space="preserve">&amp; """ </t>
  </si>
  <si>
    <t>C:\Users\Daniel Vitor\Documents\BDGado V4.accdb</t>
  </si>
  <si>
    <t>REF NF :1</t>
  </si>
  <si>
    <t>REF NF : 5</t>
  </si>
  <si>
    <t>Propriedades Rurais</t>
  </si>
  <si>
    <t>Propriedade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</si>
</sst>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m/d/yyyy"/>
    <numFmt numFmtId="167" formatCode="_-[$R$-416]\ * #,##0.00_-;\-[$R$-416]\ * #,##0.00_-;_-[$R$-416]\ * &quot;-&quot;??_-;_-@_-"/>
    <numFmt numFmtId="168" formatCode="_-[$R$-416]\ * #,##0.000000_-;\-[$R$-416]\ * #,##0.000000_-;_-[$R$-416]\ 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4"/>
      <color theme="1"/>
      <name val="Arial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0">
    <border>
      <left/>
      <right/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6"/>
      </right>
      <top style="thin">
        <color theme="0" tint="-0.14996795556505021"/>
      </top>
      <bottom style="medium">
        <color theme="6"/>
      </bottom>
      <diagonal/>
    </border>
    <border>
      <left style="thin">
        <color theme="0" tint="-0.14996795556505021"/>
      </left>
      <right style="thin">
        <color theme="6"/>
      </right>
      <top style="thin">
        <color theme="0" tint="-0.1499679555650502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4">
    <xf numFmtId="0" fontId="0" fillId="0" borderId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8" fillId="0" borderId="0"/>
  </cellStyleXfs>
  <cellXfs count="58">
    <xf numFmtId="0" fontId="0" fillId="0" borderId="0" xfId="0"/>
    <xf numFmtId="0" fontId="0" fillId="0" borderId="0" xfId="0" applyAlignment="1">
      <alignment horizontal="center"/>
    </xf>
    <xf numFmtId="0" fontId="1" fillId="0" borderId="2" xfId="0" applyFont="1" applyBorder="1"/>
    <xf numFmtId="0" fontId="0" fillId="0" borderId="3" xfId="0" applyBorder="1"/>
    <xf numFmtId="0" fontId="0" fillId="0" borderId="4" xfId="0" applyBorder="1"/>
    <xf numFmtId="0" fontId="5" fillId="0" borderId="0" xfId="0" applyFont="1"/>
    <xf numFmtId="2" fontId="0" fillId="0" borderId="0" xfId="0" applyNumberFormat="1"/>
    <xf numFmtId="14" fontId="0" fillId="0" borderId="0" xfId="0" applyNumberFormat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165" fontId="0" fillId="0" borderId="0" xfId="1" applyFont="1" applyFill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164" fontId="0" fillId="0" borderId="4" xfId="2" applyFont="1" applyBorder="1" applyAlignment="1">
      <alignment horizontal="center"/>
    </xf>
    <xf numFmtId="164" fontId="0" fillId="0" borderId="4" xfId="2" applyFont="1" applyBorder="1"/>
    <xf numFmtId="2" fontId="0" fillId="0" borderId="4" xfId="0" applyNumberFormat="1" applyBorder="1" applyAlignment="1">
      <alignment horizontal="center"/>
    </xf>
    <xf numFmtId="0" fontId="1" fillId="0" borderId="4" xfId="0" applyFont="1" applyBorder="1" applyAlignment="1">
      <alignment horizontal="center"/>
    </xf>
    <xf numFmtId="14" fontId="1" fillId="0" borderId="4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/>
    <xf numFmtId="166" fontId="0" fillId="0" borderId="0" xfId="0" applyNumberFormat="1" applyAlignment="1">
      <alignment horizontal="center"/>
    </xf>
    <xf numFmtId="0" fontId="2" fillId="0" borderId="11" xfId="0" applyFont="1" applyBorder="1" applyAlignment="1">
      <alignment horizontal="centerContinuous" vertical="center"/>
    </xf>
    <xf numFmtId="0" fontId="2" fillId="0" borderId="12" xfId="0" applyFont="1" applyBorder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horizontal="centerContinuous"/>
    </xf>
    <xf numFmtId="0" fontId="2" fillId="0" borderId="13" xfId="0" applyFont="1" applyBorder="1" applyAlignment="1">
      <alignment horizontal="centerContinuous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/>
    <xf numFmtId="0" fontId="0" fillId="0" borderId="0" xfId="0" quotePrefix="1"/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7" fontId="0" fillId="0" borderId="0" xfId="2" applyNumberFormat="1" applyFont="1" applyAlignment="1">
      <alignment horizontal="center"/>
    </xf>
    <xf numFmtId="164" fontId="0" fillId="0" borderId="0" xfId="2" applyFont="1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/>
      <protection locked="0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19" xfId="0" applyBorder="1" applyAlignment="1">
      <alignment horizontal="center"/>
    </xf>
    <xf numFmtId="0" fontId="8" fillId="0" borderId="0" xfId="3" applyAlignment="1">
      <alignment horizontal="center"/>
    </xf>
    <xf numFmtId="166" fontId="0" fillId="0" borderId="0" xfId="0" applyNumberFormat="1"/>
    <xf numFmtId="168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/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4">
    <cellStyle name="Excel Built-in Normal" xfId="3" xr:uid="{1D0AC9AB-6D0A-45E3-ADD9-877BC6B30461}"/>
    <cellStyle name="Moeda" xfId="2" builtinId="4"/>
    <cellStyle name="Normal" xfId="0" builtinId="0"/>
    <cellStyle name="Vírgula" xfId="1" builtinId="3"/>
  </cellStyles>
  <dxfs count="315">
    <dxf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  <vertical/>
        <horizontal/>
      </border>
    </dxf>
    <dxf>
      <border outline="0">
        <top style="thin">
          <color theme="0" tint="-0.499984740745262"/>
        </top>
        <bottom style="thin">
          <color theme="0" tint="-0.24994659260841701"/>
        </bottom>
      </border>
    </dxf>
    <dxf>
      <border outline="0"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0" tint="-0.149967955565050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6" formatCode="m/d/yyyy"/>
      <fill>
        <patternFill patternType="none">
          <fgColor indexed="64"/>
          <bgColor indexed="65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0" tint="-0.14996795556505021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6" formatCode="m/d/yyyy"/>
      <alignment horizontal="center" vertical="bottom" textRotation="0" wrapText="0" indent="0" justifyLastLine="0" shrinkToFit="0" readingOrder="0"/>
      <protection locked="0" hidden="0"/>
    </dxf>
    <dxf>
      <numFmt numFmtId="166" formatCode="m/d/yyyy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0" tint="-0.14996795556505021"/>
        </top>
      </border>
    </dxf>
    <dxf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7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0" tint="-0.14996795556505021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0" tint="-0.14996795556505021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theme="0" tint="-0.14996795556505021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</dxf>
    <dxf>
      <numFmt numFmtId="167" formatCode="_-[$R$-416]\ * #,##0.00_-;\-[$R$-416]\ * #,##0.00_-;_-[$R$-416]\ * &quot;-&quot;??_-;_-@_-"/>
      <fill>
        <patternFill patternType="none">
          <fgColor indexed="64"/>
          <bgColor indexed="65"/>
        </patternFill>
      </fill>
    </dxf>
    <dxf>
      <numFmt numFmtId="167" formatCode="_-[$R$-416]\ * #,##0.00_-;\-[$R$-416]\ * #,##0.00_-;_-[$R$-416]\ * &quot;-&quot;??_-;_-@_-"/>
      <fill>
        <patternFill patternType="none">
          <fgColor indexed="64"/>
          <bgColor indexed="65"/>
        </patternFill>
      </fill>
    </dxf>
    <dxf>
      <numFmt numFmtId="167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numFmt numFmtId="168" formatCode="_-[$R$-416]\ * #,##0.000000_-;\-[$R$-416]\ * #,##0.000000_-;_-[$R$-416]\ * &quot;-&quot;??_-;_-@_-"/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2</xdr:row>
          <xdr:rowOff>57150</xdr:rowOff>
        </xdr:from>
        <xdr:to>
          <xdr:col>4</xdr:col>
          <xdr:colOff>133350</xdr:colOff>
          <xdr:row>4</xdr:row>
          <xdr:rowOff>19050</xdr:rowOff>
        </xdr:to>
        <xdr:sp macro="" textlink="">
          <xdr:nvSpPr>
            <xdr:cNvPr id="1025" name="Button 2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Selecionar arquivo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grojacarezinho-my.sharepoint.com/personal/daniel_barros_agrojacarezinho_com_br/Documents/Documents/Controle%20Fiscal%20-%20Daniel/Procedimentos%20Fiscais/Projeto/Planilha%20de%20Controle%20Pecu&#225;r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Auxiliar"/>
      <sheetName val="Help"/>
      <sheetName val="Clientes"/>
      <sheetName val="Fornecedores"/>
      <sheetName val="Origem"/>
      <sheetName val="Raça"/>
      <sheetName val="Status do Animal"/>
      <sheetName val="Causa da Morte"/>
      <sheetName val="Pasto"/>
      <sheetName val="Sanidade"/>
      <sheetName val="Medicamento"/>
      <sheetName val="Despesa"/>
      <sheetName val="Tipo Receita"/>
      <sheetName val="Tipo"/>
      <sheetName val="Cálculos"/>
      <sheetName val="Animal"/>
      <sheetName val="Peso"/>
      <sheetName val="Despesas"/>
      <sheetName val="Aplicação Medicamento"/>
      <sheetName val="Inseminação"/>
      <sheetName val="Venda"/>
      <sheetName val="Configuraçã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A3">
            <v>1</v>
          </cell>
          <cell r="B3" t="str">
            <v>MEDICAMENTO</v>
          </cell>
        </row>
        <row r="4">
          <cell r="A4">
            <v>2</v>
          </cell>
        </row>
        <row r="5">
          <cell r="A5">
            <v>3</v>
          </cell>
        </row>
      </sheetData>
      <sheetData sheetId="11">
        <row r="3">
          <cell r="A3">
            <v>1</v>
          </cell>
          <cell r="B3" t="str">
            <v>VACINA CONTRA RAIVA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</sheetData>
      <sheetData sheetId="12"/>
      <sheetData sheetId="13"/>
      <sheetData sheetId="14"/>
      <sheetData sheetId="15"/>
      <sheetData sheetId="16">
        <row r="3">
          <cell r="A3">
            <v>1</v>
          </cell>
          <cell r="B3" t="str">
            <v>B1</v>
          </cell>
        </row>
        <row r="4">
          <cell r="A4">
            <v>2</v>
          </cell>
        </row>
        <row r="5">
          <cell r="A5">
            <v>3</v>
          </cell>
        </row>
      </sheetData>
      <sheetData sheetId="17"/>
      <sheetData sheetId="18"/>
      <sheetData sheetId="19"/>
      <sheetData sheetId="20"/>
      <sheetData sheetId="21"/>
      <sheetData sheetId="2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61E5DA88-F1A4-4286-966E-6C4221955D88}" name="Tabela1563789101128" displayName="Tabela1563789101128" ref="A2:D23" totalsRowShown="0" headerRowDxfId="314" dataDxfId="313" headerRowCellStyle="Normal" dataCellStyle="Normal">
  <autoFilter ref="A2:D23" xr:uid="{61E5DA88-F1A4-4286-966E-6C4221955D88}"/>
  <tableColumns count="4">
    <tableColumn id="1" xr3:uid="{7CA1B72D-B9BA-4CD2-829D-E9D945F1CE05}" name="ID" dataDxfId="312" dataCellStyle="Normal"/>
    <tableColumn id="2" xr3:uid="{5436ED86-523C-4561-AC26-A07802B3130D}" name="Medicamento" dataDxfId="311" dataCellStyle="Normal"/>
    <tableColumn id="4" xr3:uid="{4F72C96E-7A9A-4B72-8B93-926A640E40BE}" name="GRUPO" dataDxfId="310"/>
    <tableColumn id="5" xr3:uid="{5A7C0F6A-5AB8-4112-82A8-5F38B2F5956C}" name="Unidade" dataDxfId="30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FE0B51-C197-435D-A756-42B325F4C882}" name="Tabela1563789101112131416" displayName="Tabela1563789101112131416" ref="A2:N20" totalsRowShown="0" headerRowDxfId="308" dataCellStyle="Normal">
  <autoFilter ref="A2:N20" xr:uid="{00000000-0009-0000-0100-00000D000000}"/>
  <sortState xmlns:xlrd2="http://schemas.microsoft.com/office/spreadsheetml/2017/richdata2" ref="A3:N3">
    <sortCondition ref="F2:F3"/>
  </sortState>
  <tableColumns count="14">
    <tableColumn id="1" xr3:uid="{E53C31FC-7A03-4E08-83FB-3DCF57229CF9}" name="ID" dataDxfId="307" totalsRowDxfId="306" dataCellStyle="Normal"/>
    <tableColumn id="8" xr3:uid="{16107B23-AB96-4D23-8298-5D7F7479D5D4}" name="Tipo Despesas" dataDxfId="305" totalsRowDxfId="304"/>
    <tableColumn id="14" xr3:uid="{BE93A58E-0FD4-4487-B896-5F7A6335A61F}" name="ID Despesas" dataDxfId="303" totalsRowDxfId="302"/>
    <tableColumn id="4" xr3:uid="{385E3C2C-9A97-4C98-911E-4C7B9ADEB341}" name="Data Vencimento" dataDxfId="301" totalsRowDxfId="300"/>
    <tableColumn id="12" xr3:uid="{91FA9023-837A-4E70-ABA0-0ACA96CCEB5F}" name="Data Entrada" dataDxfId="299" totalsRowDxfId="298"/>
    <tableColumn id="2" xr3:uid="{2D41BF80-ED81-4CC3-9AFF-1FDB6A13F08B}" name="Nota Fiscal" dataDxfId="297" totalsRowDxfId="296"/>
    <tableColumn id="11" xr3:uid="{41EA9B95-4842-4640-8497-33F8D3AA9235}" name="Fornecedor" dataDxfId="295" totalsRowDxfId="294"/>
    <tableColumn id="13" xr3:uid="{89058FB5-CEC8-49C9-8C73-9C7640F0337A}" name="Grupo" dataDxfId="293" totalsRowDxfId="292"/>
    <tableColumn id="6" xr3:uid="{038C6EA0-6FBB-4F4A-8686-B9AE140A0BF4}" name="Produto" dataDxfId="291" totalsRowDxfId="290"/>
    <tableColumn id="9" xr3:uid="{CD9B077B-CD23-455B-B7AD-2B3D2A93C3E9}" name="Unidade" dataDxfId="289" totalsRowDxfId="288"/>
    <tableColumn id="7" xr3:uid="{DA88F3B5-5A11-4042-97BF-DE1B0E6685B9}" name="Quantidade" dataDxfId="287" totalsRowDxfId="286"/>
    <tableColumn id="10" xr3:uid="{C5BBA37B-A475-44DA-BC78-B4376561098F}" name="Valor Unitário" dataDxfId="285" totalsRowDxfId="284"/>
    <tableColumn id="3" xr3:uid="{92BFBF48-1CA2-48CB-B875-361791BDF2EF}" name="Valor Total" dataDxfId="283" totalsRowDxfId="282" dataCellStyle="Normal"/>
    <tableColumn id="5" xr3:uid="{951247D8-9996-4147-93C6-52DE3A8419F4}" name="Ação" dataDxfId="281" totalsRowDxfId="280" dataCellStyle="Normal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4BCE3503-C40A-4DF6-B597-6E24DD98261C}" name="Tabela156378910112324252627" displayName="Tabela156378910112324252627" ref="A2:D10" totalsRowShown="0" headerRowDxfId="279" dataDxfId="278" headerRowCellStyle="Normal">
  <autoFilter ref="A2:D10" xr:uid="{00000000-0009-0000-0100-00000A000000}"/>
  <tableColumns count="4">
    <tableColumn id="1" xr3:uid="{E779D19D-9EDE-4B4B-A4CC-D7421B432E4F}" name="ID" dataDxfId="277" dataCellStyle="Normal"/>
    <tableColumn id="2" xr3:uid="{B5FA0BAD-D4E2-434B-B303-705CCE9A9498}" name="Unidade" dataDxfId="276" dataCellStyle="Excel Built-in Normal"/>
    <tableColumn id="3" xr3:uid="{C9BA0999-7E1E-45F2-94DF-37FC5913209B}" name="Descrição" dataDxfId="275" dataCellStyle="Excel Built-in Normal"/>
    <tableColumn id="4" xr3:uid="{3EB91BBF-5852-4616-AF3A-F9DB9FEFC518}" name="Ação" dataDxfId="274" dataCellStyle="Normal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6EE6E15-EF47-4799-B385-81FF65A28E6E}" name="Tabela1563789101123242526" displayName="Tabela1563789101123242526" ref="A2:C6" totalsRowShown="0" headerRowDxfId="273" dataDxfId="272" headerRowCellStyle="Normal" dataCellStyle="Normal">
  <autoFilter ref="A2:C6" xr:uid="{00000000-0009-0000-0100-00000A000000}"/>
  <tableColumns count="3">
    <tableColumn id="1" xr3:uid="{60BCF627-EA2A-4BE1-B472-27568CE38068}" name="ID" dataDxfId="271" dataCellStyle="Normal"/>
    <tableColumn id="2" xr3:uid="{6C307986-6B9E-46A0-8217-0D7A9C9FD21B}" name="Medicamento" dataDxfId="270" dataCellStyle="Normal"/>
    <tableColumn id="3" xr3:uid="{63AA3B81-C8E9-4249-99E9-89BF47E0B53F}" name="Ação" dataDxfId="269" dataCellStyle="Normal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9C9E213-AB11-40BF-81D9-B227228F5631}" name="Tabela15637891011232425" displayName="Tabela15637891011232425" ref="A2:E6" totalsRowShown="0" headerRowDxfId="268" dataDxfId="267" headerRowCellStyle="Normal" dataCellStyle="Normal">
  <autoFilter ref="A2:E6" xr:uid="{00000000-0009-0000-0100-00000A000000}"/>
  <tableColumns count="5">
    <tableColumn id="1" xr3:uid="{FEDF9A12-4410-423A-B8DE-44F0C56A2A85}" name="ID" dataDxfId="266" dataCellStyle="Normal"/>
    <tableColumn id="2" xr3:uid="{CFF52B9C-2C0F-44E9-992C-DDF63DF41925}" name="Medicamento" dataDxfId="265" dataCellStyle="Normal"/>
    <tableColumn id="6" xr3:uid="{5042F74F-D2E4-4950-B917-DCB7ECC43A4B}" name="GRUPO" dataDxfId="264"/>
    <tableColumn id="4" xr3:uid="{CC2D05F6-9441-411F-ACF2-2ECC2C89E071}" name="Unidade" dataDxfId="263"/>
    <tableColumn id="3" xr3:uid="{90DAF316-2F06-41CC-A133-41C7F2E5EAEF}" name="Ação" dataDxfId="262" dataCellStyle="Normal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D8EE352-B3BB-4443-B406-5B650C9B77E4}" name="Tabela156378910112324" displayName="Tabela156378910112324" ref="A2:E8" totalsRowShown="0" headerRowDxfId="261" dataDxfId="260" headerRowCellStyle="Normal" dataCellStyle="Normal">
  <autoFilter ref="A2:E8" xr:uid="{00000000-0009-0000-0100-00000A000000}"/>
  <tableColumns count="5">
    <tableColumn id="1" xr3:uid="{9EC881A3-37B1-45E1-8845-D5675C890476}" name="ID" dataDxfId="259" dataCellStyle="Normal"/>
    <tableColumn id="2" xr3:uid="{A6A5BED8-3B22-49CC-B326-D2947B2A6F3D}" name="Medicamento" dataDxfId="258" dataCellStyle="Normal"/>
    <tableColumn id="5" xr3:uid="{7D7DB166-0BFA-4F96-B920-D1956AA13ADB}" name="GRUPO" dataDxfId="257"/>
    <tableColumn id="4" xr3:uid="{F98AE920-FAC4-4B73-B3BD-9F45BE526D64}" name="Unidade" dataDxfId="256"/>
    <tableColumn id="3" xr3:uid="{689476E9-84C9-43F8-BC01-6642A68CF02A}" name="Ação" dataDxfId="255" dataCellStyle="Normal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DB9AAF2-3C1C-4037-A496-4506E84CE017}" name="Tabela1563789101123" displayName="Tabela1563789101123" ref="A2:E7" totalsRowShown="0" headerRowDxfId="254" dataDxfId="253" headerRowCellStyle="Normal" dataCellStyle="Normal">
  <autoFilter ref="A2:E7" xr:uid="{00000000-0009-0000-0100-00000A000000}"/>
  <tableColumns count="5">
    <tableColumn id="1" xr3:uid="{5734D033-0E96-4CB5-B94F-75DD0510598A}" name="ID" dataDxfId="252" dataCellStyle="Normal"/>
    <tableColumn id="2" xr3:uid="{B947F178-0CF7-4BE0-A529-317B951EA662}" name="Medicamento" dataDxfId="251" dataCellStyle="Normal"/>
    <tableColumn id="5" xr3:uid="{8B5CB5A2-2C44-44C6-B6C5-91DE1EEF1349}" name="GRUPO" dataDxfId="250"/>
    <tableColumn id="4" xr3:uid="{62620612-EDAE-47CE-B9B8-880C32A8EB1C}" name="Unidade" dataDxfId="249"/>
    <tableColumn id="3" xr3:uid="{86688899-BD0C-4CFB-9018-D5EA2CE563BB}" name="Ação" dataDxfId="248" dataCellStyle="Normal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ela156378" displayName="Tabela156378" ref="A2:C4" totalsRowShown="0" headerRowDxfId="247" dataDxfId="246" headerRowCellStyle="Normal" dataCellStyle="Normal">
  <autoFilter ref="A2:C4" xr:uid="{00000000-0009-0000-0100-000007000000}"/>
  <tableColumns count="3">
    <tableColumn id="1" xr3:uid="{00000000-0010-0000-0700-000001000000}" name="ID" dataDxfId="245" dataCellStyle="Normal"/>
    <tableColumn id="2" xr3:uid="{00000000-0010-0000-0700-000002000000}" name="Propriedade" dataDxfId="244" dataCellStyle="Normal"/>
    <tableColumn id="3" xr3:uid="{00000000-0010-0000-0700-000003000000}" name="Ação" dataDxfId="243" dataCellStyle="Normal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0000000}" name="Tabela1563789101112131415" displayName="Tabela1563789101112131415" ref="A2:AH13" totalsRowShown="0" headerRowDxfId="218" headerRowBorderDxfId="217">
  <autoFilter ref="A2:AH13" xr:uid="{00000000-0009-0000-0100-00000E000000}"/>
  <tableColumns count="34">
    <tableColumn id="8" xr3:uid="{00000000-0010-0000-0000-000008000000}" name="ID" dataDxfId="216"/>
    <tableColumn id="6" xr3:uid="{00000000-0010-0000-0000-000006000000}" name="Brinco" dataDxfId="215"/>
    <tableColumn id="9" xr3:uid="{00000000-0010-0000-0000-000009000000}" name="Lote" dataDxfId="214"/>
    <tableColumn id="3" xr3:uid="{00000000-0010-0000-0000-000003000000}" name="Status" dataDxfId="213" dataCellStyle="Normal"/>
    <tableColumn id="30" xr3:uid="{00000000-0010-0000-0000-00001E000000}" name="Sitio" dataDxfId="212"/>
    <tableColumn id="4" xr3:uid="{00000000-0010-0000-0000-000004000000}" name="Pasto" dataDxfId="211" dataCellStyle="Normal"/>
    <tableColumn id="5" xr3:uid="{00000000-0010-0000-0000-000005000000}" name="Tipo" dataDxfId="210" dataCellStyle="Normal"/>
    <tableColumn id="10" xr3:uid="{00000000-0010-0000-0000-00000A000000}" name="Sexo" dataDxfId="209" dataCellStyle="Normal"/>
    <tableColumn id="11" xr3:uid="{00000000-0010-0000-0000-00000B000000}" name="Raça" dataDxfId="208" dataCellStyle="Normal"/>
    <tableColumn id="12" xr3:uid="{00000000-0010-0000-0000-00000C000000}" name="Origem" dataDxfId="207" dataCellStyle="Normal"/>
    <tableColumn id="35" xr3:uid="{00000000-0010-0000-0000-000023000000}" name="Idade" dataDxfId="206">
      <calculatedColumnFormula>IFERROR(IF(Tabela1563789101112131415[[#This Row],[Data Nascimento]]=0,"",ROUNDDOWN(SUM((TODAY()-Tabela1563789101112131415[[#This Row],[Data Nascimento]])/30),0)),"")&amp;" M "</calculatedColumnFormula>
    </tableColumn>
    <tableColumn id="34" xr3:uid="{00000000-0010-0000-0000-000022000000}" name="Categoria" dataDxfId="205">
      <calculatedColumnFormula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calculatedColumnFormula>
    </tableColumn>
    <tableColumn id="13" xr3:uid="{00000000-0010-0000-0000-00000D000000}" name="Data Desmama" dataDxfId="204" dataCellStyle="Normal"/>
    <tableColumn id="14" xr3:uid="{00000000-0010-0000-0000-00000E000000}" name="Data Entrada" dataDxfId="203" dataCellStyle="Normal"/>
    <tableColumn id="15" xr3:uid="{00000000-0010-0000-0000-00000F000000}" name="Data Nascimento" dataDxfId="202" dataCellStyle="Normal"/>
    <tableColumn id="16" xr3:uid="{00000000-0010-0000-0000-000010000000}" name="Peso" dataDxfId="201" dataCellStyle="Vírgula"/>
    <tableColumn id="19" xr3:uid="{00000000-0010-0000-0000-000013000000}" name="Brinco do Pai" dataDxfId="200" dataCellStyle="Normal"/>
    <tableColumn id="20" xr3:uid="{00000000-0010-0000-0000-000014000000}" name="Brinco da Mãe" dataDxfId="199" dataCellStyle="Normal"/>
    <tableColumn id="22" xr3:uid="{00000000-0010-0000-0000-000016000000}" name="Observações" dataDxfId="198" dataCellStyle="Normal"/>
    <tableColumn id="23" xr3:uid="{00000000-0010-0000-0000-000017000000}" name="Morte" dataDxfId="197" dataCellStyle="Normal"/>
    <tableColumn id="24" xr3:uid="{00000000-0010-0000-0000-000018000000}" name="Data Morte" dataDxfId="196" dataCellStyle="Normal"/>
    <tableColumn id="28" xr3:uid="{00000000-0010-0000-0000-00001C000000}" name="Ação" dataDxfId="195"/>
    <tableColumn id="29" xr3:uid="{00000000-0010-0000-0000-00001D000000}" name="BCONFIG" dataDxfId="194">
      <calculatedColumnFormula>IFERROR(IF(Tabela1563789101112131415[[#This Row],[Status]]="ATIVO",Tabela1563789101112131415[[#This Row],[Brinco]],""),"")</calculatedColumnFormula>
    </tableColumn>
    <tableColumn id="27" xr3:uid="{00000000-0010-0000-0000-00001B000000}" name="BCONFIG2" dataDxfId="193">
      <calculatedColumnFormula>Tabela1563789101112131415[[#This Row],[Brinco]]&amp;" - "&amp;Tabela1563789101112131415[[#This Row],[Sitio]]</calculatedColumnFormula>
    </tableColumn>
    <tableColumn id="26" xr3:uid="{00000000-0010-0000-0000-00001A000000}" name="BCONFIG3" dataDxfId="192">
      <calculatedColumnFormula>Tabela1563789101112131415[[#This Row],[ID]]</calculatedColumnFormula>
    </tableColumn>
    <tableColumn id="1" xr3:uid="{5AD0C043-0DE0-4BB4-B2B1-4757AFDCFC03}" name="BCONFIG4" dataDxfId="191">
      <calculatedColumnFormula>Tabela1563789101112131415[[#This Row],[Categoria]]</calculatedColumnFormula>
    </tableColumn>
    <tableColumn id="2" xr3:uid="{D8FBC057-3DF1-44A2-A4CC-E2AC7DB57C10}" name="BCONFIG5" dataDxfId="190">
      <calculatedColumnFormula>Tabela1563789101112131415[[#This Row],[Tipo]]</calculatedColumnFormula>
    </tableColumn>
    <tableColumn id="7" xr3:uid="{39751990-998A-4753-8CB4-1A4AFE492064}" name="BCONFIG6" dataDxfId="189">
      <calculatedColumnFormula>IFERROR(VLOOKUP($D3,CHOOSE({1,2},'Status Animal'!$B$3:$B$100000,'Status Animal'!$A$3:$A$100000),2,0),"")</calculatedColumnFormula>
    </tableColumn>
    <tableColumn id="17" xr3:uid="{36204812-5C3E-45B8-9B74-F25CEA823E55}" name="BCONFIG7" dataDxfId="188">
      <calculatedColumnFormula>IFERROR(VLOOKUP($E3,CHOOSE({1,2},'Propriedades Rurais'!$B$3:$B$100000,'Propriedades Rurais'!$A$3:$A$100000),2,0),"")</calculatedColumnFormula>
    </tableColumn>
    <tableColumn id="18" xr3:uid="{672A1E80-A0CE-4B18-A0F4-709FE340128D}" name="BCONFIG8" dataDxfId="187">
      <calculatedColumnFormula>IFERROR(VLOOKUP($F3,CHOOSE({1,2},Pastos!$B$3:$B$100000,Pastos!$A$3:$A$100000),2,0),"")</calculatedColumnFormula>
    </tableColumn>
    <tableColumn id="21" xr3:uid="{7E45139E-86BF-44F1-A054-3FDD82B806E3}" name="BCONFIG9" dataDxfId="186">
      <calculatedColumnFormula>IFERROR(VLOOKUP($G3,CHOOSE({1,2},'Tipo Animal'!$B$3:$B$10000,'Tipo Animal'!$A$3:$A$10000),2,0),"")</calculatedColumnFormula>
    </tableColumn>
    <tableColumn id="25" xr3:uid="{62E1E0F0-5BED-4BF9-9592-005702C08C1D}" name="BCONFIG10" dataDxfId="185">
      <calculatedColumnFormula>IFERROR(VLOOKUP($I3,CHOOSE({1,2},Raça!$B$3:$B$100000,Raça!$A$3:$A$100000),2,0),"")</calculatedColumnFormula>
    </tableColumn>
    <tableColumn id="31" xr3:uid="{E64C11F1-0D8B-461E-9748-C763C9B88E49}" name="BCONFIG102" dataDxfId="184">
      <calculatedColumnFormula>IFERROR(VLOOKUP($J3,CHOOSE({1,2},Origem!$B$3:$B$100000,Origem!$A$3:$A$100000),2,0),"")</calculatedColumnFormula>
    </tableColumn>
    <tableColumn id="32" xr3:uid="{11169048-5734-4F05-A98A-AB7CC0FC694A}" name="BCONFIG11" dataDxfId="183">
      <calculatedColumnFormula>IFERROR(VLOOKUP($T3,CHOOSE({1,2},'Causa Da Morte'!$B$3:$B$100000,'Causa Da Morte'!$A$3:$A$100000),2,0),"")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52A8FB7-00B1-4539-9177-FED063ECD6C5}" name="Tabela16" displayName="Tabela16" ref="A2:M3" totalsRowShown="0" headerRowDxfId="176" dataDxfId="175" tableBorderDxfId="174">
  <autoFilter ref="A2:M3" xr:uid="{052A8FB7-00B1-4539-9177-FED063ECD6C5}"/>
  <tableColumns count="13">
    <tableColumn id="1" xr3:uid="{50559F16-BAA1-40F5-B01B-1D3BA8FDE212}" name="ID" dataDxfId="173"/>
    <tableColumn id="2" xr3:uid="{C7515450-08C3-46BF-9199-4C146F19F0C9}" name="Nome / Razão Social" dataDxfId="172"/>
    <tableColumn id="3" xr3:uid="{DE3B0252-5CFD-44D6-9F13-675883AE77C8}" name="CPF / CNPJ" dataDxfId="171"/>
    <tableColumn id="14" xr3:uid="{6B5CCB7F-7814-4CE7-8FE0-D3C539C99A25}" name="E-mail" dataDxfId="170"/>
    <tableColumn id="15" xr3:uid="{1DC4F8ED-B766-434B-BAE5-562F21BD974B}" name="UF" dataDxfId="169"/>
    <tableColumn id="16" xr3:uid="{009E0E11-546E-4A54-9CD9-E470CD45EAF9}" name="Cidade" dataDxfId="168"/>
    <tableColumn id="17" xr3:uid="{4FB04F0D-3239-4238-B2CE-7E8463955D9F}" name="Bairro" dataDxfId="167"/>
    <tableColumn id="18" xr3:uid="{01DC4418-9691-45A3-B8A0-9E24EF0239B8}" name="CEP" dataDxfId="166"/>
    <tableColumn id="19" xr3:uid="{7C5C3152-6B21-480D-91E0-C8097B0A9D60}" name="Endereço" dataDxfId="165"/>
    <tableColumn id="20" xr3:uid="{22702C34-145D-472C-9961-97923EAF169D}" name="Fone" dataDxfId="164"/>
    <tableColumn id="21" xr3:uid="{A088C846-5947-4C83-98C8-B118F33A1EDE}" name="Celular" dataDxfId="163"/>
    <tableColumn id="22" xr3:uid="{1E31C457-5635-49E5-B37D-41816E32ABC6}" name="Observação" dataDxfId="162"/>
    <tableColumn id="23" xr3:uid="{F1DD57A6-7F03-4509-AE21-F0B6ED9E1D78}" name="Ação" dataDxfId="161"/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F5A5741-918F-42D1-AC99-2109A3E67C35}" name="Tabela17" displayName="Tabela17" ref="A2:M3" totalsRowShown="0" headerRowDxfId="158" dataDxfId="157" tableBorderDxfId="156">
  <autoFilter ref="A2:M3" xr:uid="{0F5A5741-918F-42D1-AC99-2109A3E67C35}"/>
  <tableColumns count="13">
    <tableColumn id="1" xr3:uid="{C67B99F6-E430-42A6-8534-0352D9E5C7B8}" name="ID" dataDxfId="155"/>
    <tableColumn id="2" xr3:uid="{BFD9898D-891A-420C-9E48-058044D47F73}" name="Nome / Razão Social" dataDxfId="154"/>
    <tableColumn id="3" xr3:uid="{3841D88D-6D3A-47C8-AD24-F83087FC6373}" name="CPF / CNPJ" dataDxfId="153"/>
    <tableColumn id="4" xr3:uid="{B48A5018-746D-484B-AEDF-E15D342403F9}" name="E-mail" dataDxfId="152"/>
    <tableColumn id="5" xr3:uid="{F163C8C8-78D2-4680-9EF5-7EFEDAF7C8A2}" name="UF" dataDxfId="151"/>
    <tableColumn id="6" xr3:uid="{08740D08-AADB-478D-86F0-E98C1D3B2FA4}" name="Cidade" dataDxfId="150"/>
    <tableColumn id="7" xr3:uid="{AE1B42D2-CF70-49D2-B221-A6B985F4A116}" name="Bairro" dataDxfId="149"/>
    <tableColumn id="8" xr3:uid="{4D457C5D-9A29-4598-882E-27D4A2BB1EF9}" name="CEP" dataDxfId="148"/>
    <tableColumn id="9" xr3:uid="{895624BD-8EB2-410A-8F00-068A6B71D176}" name="Endereço" dataDxfId="147"/>
    <tableColumn id="10" xr3:uid="{CC420CCA-EBE2-4339-938A-6CC05CBB5AD0}" name="Fone" dataDxfId="146"/>
    <tableColumn id="11" xr3:uid="{2F8B6E07-68D1-4F6A-AD1F-D9685076FB44}" name="Celular" dataDxfId="145"/>
    <tableColumn id="12" xr3:uid="{804E180A-DE45-40FB-9E3D-D9446177DB2E}" name="Observação" dataDxfId="144"/>
    <tableColumn id="13" xr3:uid="{6283A18F-5D83-4084-B430-7C46D53041BC}" name="Ação" dataDxfId="143"/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A5797E4-CC36-4BD5-AE65-C082A5F047DD}" name="Tabela20" displayName="Tabela20" ref="A2:K5" totalsRowShown="0" headerRowDxfId="140" dataDxfId="139" tableBorderDxfId="138">
  <autoFilter ref="A2:K5" xr:uid="{5A5797E4-CC36-4BD5-AE65-C082A5F047DD}"/>
  <tableColumns count="11">
    <tableColumn id="1" xr3:uid="{107F3BB0-8798-44B4-B060-2C122C9CA186}" name="ID" dataDxfId="137"/>
    <tableColumn id="2" xr3:uid="{C90AA778-AF2F-4C7F-BA48-0CFC81275C18}" name="Despesa" dataDxfId="136"/>
    <tableColumn id="3" xr3:uid="{0B189E74-B244-4814-9FF5-77B6FC0C112F}" name="Fornecedor" dataDxfId="135"/>
    <tableColumn id="4" xr3:uid="{D29C2E12-9CDC-45EE-92C6-DB059531069F}" name="Descrição" dataDxfId="134"/>
    <tableColumn id="5" xr3:uid="{315F667B-B46D-44E0-B3BC-B913D766C72A}" name="Valor" dataDxfId="133" dataCellStyle="Moeda"/>
    <tableColumn id="6" xr3:uid="{3B047430-1F56-4814-9ECE-543BC3744F6F}" name="Vencimento" dataDxfId="132"/>
    <tableColumn id="7" xr3:uid="{0179C03E-C6F8-4936-B9D0-E45F768C3671}" name="Data Pagamento" dataDxfId="131"/>
    <tableColumn id="8" xr3:uid="{20F21253-326B-4F16-9858-6AD0C4C6C38E}" name="Observação" dataDxfId="130"/>
    <tableColumn id="9" xr3:uid="{498FAD39-0A2C-4D47-95C8-68813C4C5D7D}" name="Ação" dataDxfId="129"/>
    <tableColumn id="10" xr3:uid="{05463595-2C79-48CD-9F0E-2E49E70CA063}" name="CONFIG1" dataDxfId="128"/>
    <tableColumn id="11" xr3:uid="{9FD0A505-2F6D-499A-9E65-C21337806720}" name="CONFIG2" dataDxfId="127"/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3AE20F3-C000-457B-9BCE-B0028E41E8B5}" name="Tabela19" displayName="Tabela19" ref="A2:P7" totalsRowShown="0" headerRowDxfId="126" dataDxfId="125" tableBorderDxfId="124">
  <autoFilter ref="A2:P7" xr:uid="{D3AE20F3-C000-457B-9BCE-B0028E41E8B5}"/>
  <tableColumns count="16">
    <tableColumn id="1" xr3:uid="{73CBA708-7F08-4E13-89C8-7D7FA071C9EA}" name="ID " dataDxfId="123" totalsRowDxfId="122"/>
    <tableColumn id="2" xr3:uid="{DFAACBD0-0A2D-4E71-9D1A-6D48E3D4B958}" name="ID Animal" dataDxfId="121" totalsRowDxfId="120"/>
    <tableColumn id="3" xr3:uid="{39500A75-94ED-40EF-9D53-08D6804A6DBC}" name="Brinco" dataDxfId="119" totalsRowDxfId="118"/>
    <tableColumn id="17" xr3:uid="{C8FD2968-3B96-4E59-A21F-2147670C5E84}" name="Sitio" dataDxfId="117"/>
    <tableColumn id="18" xr3:uid="{9FE5CA2C-F8FB-4638-BC38-A076320AB31E}" name="Categoria" dataDxfId="116"/>
    <tableColumn id="19" xr3:uid="{C15E5DBF-7DD5-4998-9E8F-6B25B63941F4}" name="Status" dataDxfId="115"/>
    <tableColumn id="20" xr3:uid="{FA7C0AB6-0924-41C6-AC30-90964EBB3B13}" name="Classe Medicamento" dataDxfId="114"/>
    <tableColumn id="21" xr3:uid="{07EDD9FE-956A-4C22-A94E-57A6524558DF}" name="Medicamento" dataDxfId="113"/>
    <tableColumn id="22" xr3:uid="{0BFAD30D-162D-4D27-B5D4-82A485BD8452}" name="Unidade" dataDxfId="112"/>
    <tableColumn id="23" xr3:uid="{628E686A-33FF-4A7F-B866-052621A7965A}" name="Data" dataDxfId="111"/>
    <tableColumn id="24" xr3:uid="{F9D5876F-C3B4-4D34-B99B-6DEE7389DB79}" name="Quantidade" dataDxfId="110"/>
    <tableColumn id="25" xr3:uid="{AD50E15F-A918-40A4-A78A-595E4211A6B0}" name="Observação" dataDxfId="109"/>
    <tableColumn id="26" xr3:uid="{4B407A84-E034-4EAA-B218-62428D9C8018}" name="Ação" dataDxfId="108"/>
    <tableColumn id="54" xr3:uid="{0648700D-8DB4-46B1-BC96-AC25D12C7BE5}" name="CONFIG 1" dataDxfId="107"/>
    <tableColumn id="55" xr3:uid="{F338055A-C09C-4BCE-95F2-A11355816029}" name="CONFIG 2" dataDxfId="106"/>
    <tableColumn id="56" xr3:uid="{01486897-7D9F-4F9E-B03B-9177D0F4B760}" name="CONFIG 3" dataDxfId="105"/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F9601BD-8203-417C-917D-1F885E1D04A4}" name="Tabela18" displayName="Tabela18" ref="A2:L4" totalsRowShown="0" headerRowDxfId="102" dataDxfId="101" tableBorderDxfId="100">
  <autoFilter ref="A2:L4" xr:uid="{1F9601BD-8203-417C-917D-1F885E1D04A4}"/>
  <tableColumns count="12">
    <tableColumn id="1" xr3:uid="{AF541212-94E2-408D-872E-2F9897AF725B}" name="ID" dataDxfId="99"/>
    <tableColumn id="2" xr3:uid="{F6EF6AD3-EAA7-45B6-8A26-1E349176D7A4}" name="ID Animal" dataDxfId="98"/>
    <tableColumn id="11" xr3:uid="{55763F0C-A7E4-45C0-8CC0-0ABCA002A885}" name="Brinco" dataDxfId="97"/>
    <tableColumn id="10" xr3:uid="{3ED089E4-A3D5-4CD2-B113-5F0D1D9132AB}" name="Sitio" dataDxfId="96"/>
    <tableColumn id="9" xr3:uid="{13A7E6A9-310B-4E9E-977C-E32494D51D7A}" name="Categoria" dataDxfId="95"/>
    <tableColumn id="3" xr3:uid="{7230C311-814D-4526-A44A-4B2C679A2AB0}" name="Data" dataDxfId="94"/>
    <tableColumn id="4" xr3:uid="{CFC711A4-B094-4A30-8009-00EDF3FA8E10}" name="Status" dataDxfId="93"/>
    <tableColumn id="5" xr3:uid="{CC1759CF-EFD8-44BC-BF9B-DA7DE3DA4713}" name="Efetivou" dataDxfId="92"/>
    <tableColumn id="6" xr3:uid="{42319759-4708-498F-884F-6CC6005461B8}" name="Data Cria" dataDxfId="91"/>
    <tableColumn id="7" xr3:uid="{56800A97-F0FF-48B3-8D1D-C76DD0135761}" name="Qtde. Cria" dataDxfId="90"/>
    <tableColumn id="8" xr3:uid="{5B96725F-BB12-4DF9-925B-7418869CC7F1}" name="Ação" dataDxfId="89"/>
    <tableColumn id="12" xr3:uid="{2EAEE2A5-BC6A-43FD-97F2-22DA6BFA913D}" name="Coluna1" dataDxfId="88">
      <calculatedColumnFormula>IFERROR(VLOOKUP(Tabela18[[#This Row],[Sitio]],CHOOSE({1,2},'Propriedades Rurais'!$B$3:$B$100000,'Propriedades Rurais'!$A$3:$A$100000),2,0),"")</calculatedColumnFormula>
    </tableColumn>
  </tableColumns>
  <tableStyleInfo name="TableStyleLight1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1000000}" name="Tabela15637891011121314" displayName="Tabela15637891011121314" ref="A2:I4" totalsRowShown="0" headerRowDxfId="87" dataCellStyle="Normal">
  <autoFilter ref="A2:I4" xr:uid="{00000000-0009-0000-0100-00000D000000}"/>
  <tableColumns count="9">
    <tableColumn id="1" xr3:uid="{00000000-0010-0000-0100-000001000000}" name="ID" dataDxfId="86" dataCellStyle="Normal"/>
    <tableColumn id="8" xr3:uid="{00000000-0010-0000-0100-000008000000}" name="ID Animal" dataDxfId="85"/>
    <tableColumn id="6" xr3:uid="{00000000-0010-0000-0100-000006000000}" name="Brinco" dataDxfId="84"/>
    <tableColumn id="7" xr3:uid="{00000000-0010-0000-0100-000007000000}" name="Sitio" dataDxfId="83"/>
    <tableColumn id="10" xr3:uid="{00000000-0010-0000-0100-00000A000000}" name="Categoria" dataDxfId="82"/>
    <tableColumn id="3" xr3:uid="{00000000-0010-0000-0100-000003000000}" name="Data" dataDxfId="81" dataCellStyle="Normal"/>
    <tableColumn id="4" xr3:uid="{00000000-0010-0000-0100-000004000000}" name="Peso" dataDxfId="80" dataCellStyle="Normal"/>
    <tableColumn id="5" xr3:uid="{00000000-0010-0000-0100-000005000000}" name="Ação" dataDxfId="79" dataCellStyle="Normal"/>
    <tableColumn id="2" xr3:uid="{01D27B34-A6E1-460F-A83B-A5369BD541DD}" name="Coluna1" dataCellStyle="Normal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0CE07E9-352D-414A-84A7-9D17D9ACFA2C}" name="Tabela21" displayName="Tabela21" ref="A2:O3" totalsRowShown="0" headerRowDxfId="76" tableBorderDxfId="75">
  <autoFilter ref="A2:O3" xr:uid="{30CE07E9-352D-414A-84A7-9D17D9ACFA2C}"/>
  <tableColumns count="15">
    <tableColumn id="1" xr3:uid="{78F25443-3055-41C5-AF0F-8F8E96778ABA}" name="ID" dataDxfId="74"/>
    <tableColumn id="2" xr3:uid="{A48A4328-3295-46CA-A75B-CCB442C0E8CF}" name="Data Venda" dataDxfId="73"/>
    <tableColumn id="3" xr3:uid="{3714F6F0-C9D3-4E53-AD7C-072E2009FFC8}" name="Receita" dataDxfId="72"/>
    <tableColumn id="4" xr3:uid="{1F82EE50-978D-4054-AB50-8CB0F3E80386}" name="Cliente" dataDxfId="71"/>
    <tableColumn id="5" xr3:uid="{7C25D016-CE57-4336-B8F5-381803ED0BFF}" name="Pedido" dataDxfId="70"/>
    <tableColumn id="6" xr3:uid="{07116314-F03C-4326-BA94-F2B2D841D05B}" name="Lote" dataDxfId="69"/>
    <tableColumn id="7" xr3:uid="{BD77E418-164B-48A5-8D68-F5A708DEB0DD}" name="Descrição" dataDxfId="68"/>
    <tableColumn id="8" xr3:uid="{049674C7-7898-4F97-BC0A-464A462DE7D4}" name="Qtde" dataDxfId="67"/>
    <tableColumn id="9" xr3:uid="{8BBBE92B-6097-4787-8921-389EFE24A600}" name="Valor Unit." dataDxfId="66" dataCellStyle="Moeda"/>
    <tableColumn id="10" xr3:uid="{2AE5B254-9411-45EB-BBCF-5626275F1BBE}" name="Valor Total" dataDxfId="65"/>
    <tableColumn id="11" xr3:uid="{F0C3BB0E-5BDE-4EB7-BD74-65431861FBD4}" name="Vencimento" dataDxfId="64"/>
    <tableColumn id="12" xr3:uid="{91510E16-1B21-44E9-9F32-ED7B2018CF29}" name="Data Pagamento" dataDxfId="63"/>
    <tableColumn id="13" xr3:uid="{397EB33C-9741-44A5-8FB0-55D17A9EFB67}" name="Ação" dataDxfId="62"/>
    <tableColumn id="14" xr3:uid="{B7578027-0E27-42D6-8374-8A38BF3D776B}" name="CONFIG1" dataDxfId="61"/>
    <tableColumn id="15" xr3:uid="{6AFB53B1-DE88-4320-8BD8-618617651A63}" name="CONFIG2" dataDxfId="60"/>
  </tableColumns>
  <tableStyleInfo name="TableStyleLight1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156378910" displayName="Tabela156378910" ref="A2:C6" totalsRowShown="0" headerRowDxfId="59" dataDxfId="58" headerRowCellStyle="Normal" dataCellStyle="Normal">
  <autoFilter ref="A2:C6" xr:uid="{00000000-0009-0000-0100-000009000000}"/>
  <tableColumns count="3">
    <tableColumn id="1" xr3:uid="{00000000-0010-0000-0500-000001000000}" name="ID" dataDxfId="57" dataCellStyle="Normal"/>
    <tableColumn id="2" xr3:uid="{00000000-0010-0000-0500-000002000000}" name="Origem" dataDxfId="56" dataCellStyle="Normal"/>
    <tableColumn id="3" xr3:uid="{00000000-0010-0000-0500-000003000000}" name="Ação" dataDxfId="55" dataCellStyle="Normal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ela15637" displayName="Tabela15637" ref="A2:C8" totalsRowShown="0" headerRowDxfId="54" dataDxfId="53" headerRowCellStyle="Normal" dataCellStyle="Normal">
  <autoFilter ref="A2:C8" xr:uid="{00000000-0009-0000-0100-000006000000}"/>
  <tableColumns count="3">
    <tableColumn id="1" xr3:uid="{00000000-0010-0000-0800-000001000000}" name="ID" dataDxfId="52" dataCellStyle="Normal"/>
    <tableColumn id="2" xr3:uid="{00000000-0010-0000-0800-000002000000}" name="Raça" dataDxfId="51" dataCellStyle="Normal"/>
    <tableColumn id="3" xr3:uid="{00000000-0010-0000-0800-000003000000}" name="Ação" dataDxfId="50" dataCellStyle="Normal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156" displayName="Tabela156" ref="A2:C6" totalsRowShown="0" headerRowDxfId="49" dataDxfId="48" headerRowCellStyle="Normal" dataCellStyle="Normal">
  <autoFilter ref="A2:C6" xr:uid="{00000000-0009-0000-0100-000002000000}"/>
  <tableColumns count="3">
    <tableColumn id="1" xr3:uid="{00000000-0010-0000-0A00-000001000000}" name="ID" dataDxfId="47" dataCellStyle="Normal"/>
    <tableColumn id="2" xr3:uid="{00000000-0010-0000-0A00-000002000000}" name="Status" dataDxfId="46" dataCellStyle="Normal"/>
    <tableColumn id="3" xr3:uid="{00000000-0010-0000-0A00-000003000000}" name="Ação" dataDxfId="45" dataCellStyle="Normal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Tabela156378910111213" displayName="Tabela156378910111213" ref="A2:C9" totalsRowShown="0" headerRowDxfId="44" dataDxfId="43" headerRowCellStyle="Normal" dataCellStyle="Normal">
  <autoFilter ref="A2:C9" xr:uid="{00000000-0009-0000-0100-00000C000000}"/>
  <tableColumns count="3">
    <tableColumn id="1" xr3:uid="{00000000-0010-0000-0200-000001000000}" name="ID" dataDxfId="42" dataCellStyle="Normal"/>
    <tableColumn id="2" xr3:uid="{00000000-0010-0000-0200-000002000000}" name="Causa da morte" dataDxfId="41" dataCellStyle="Normal"/>
    <tableColumn id="3" xr3:uid="{00000000-0010-0000-0200-000003000000}" name="Ação" dataDxfId="40" dataCellStyle="Normal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ela1563789" displayName="Tabela1563789" ref="A2:C4" totalsRowShown="0" headerRowDxfId="39" dataDxfId="38" headerRowCellStyle="Normal" dataCellStyle="Normal">
  <autoFilter ref="A2:C4" xr:uid="{00000000-0009-0000-0100-000008000000}"/>
  <tableColumns count="3">
    <tableColumn id="1" xr3:uid="{00000000-0010-0000-0600-000001000000}" name="ID" dataDxfId="37" dataCellStyle="Normal"/>
    <tableColumn id="2" xr3:uid="{00000000-0010-0000-0600-000002000000}" name="Pasto" dataDxfId="36" dataCellStyle="Normal"/>
    <tableColumn id="3" xr3:uid="{00000000-0010-0000-0600-000003000000}" name="Ação" dataDxfId="35" dataCellStyle="Normal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9000000}" name="Tabela1563" displayName="Tabela1563" ref="A2:C5" totalsRowShown="0" headerRowDxfId="34" dataDxfId="33" headerRowCellStyle="Normal" dataCellStyle="Normal">
  <autoFilter ref="A2:C5" xr:uid="{00000000-0009-0000-0100-000001000000}"/>
  <tableColumns count="3">
    <tableColumn id="1" xr3:uid="{00000000-0010-0000-0900-000001000000}" name="ID" dataDxfId="32" dataCellStyle="Normal"/>
    <tableColumn id="2" xr3:uid="{00000000-0010-0000-0900-000002000000}" name="Sanidade" dataDxfId="31" dataCellStyle="Normal"/>
    <tableColumn id="3" xr3:uid="{00000000-0010-0000-0900-000003000000}" name="Ação" dataDxfId="30" dataCellStyle="Normal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Tabela15637891011" displayName="Tabela15637891011" ref="A2:E8" totalsRowShown="0" headerRowDxfId="29" dataDxfId="28" headerRowCellStyle="Normal" dataCellStyle="Normal">
  <autoFilter ref="A2:E8" xr:uid="{00000000-0009-0000-0100-00000A000000}"/>
  <tableColumns count="5">
    <tableColumn id="1" xr3:uid="{00000000-0010-0000-0400-000001000000}" name="ID" dataDxfId="27" dataCellStyle="Normal"/>
    <tableColumn id="2" xr3:uid="{00000000-0010-0000-0400-000002000000}" name="Medicamento" dataDxfId="26" dataCellStyle="Normal"/>
    <tableColumn id="4" xr3:uid="{DED3422D-A0D5-469E-A131-DA83EC4B0D53}" name="GRUPO" dataDxfId="25"/>
    <tableColumn id="5" xr3:uid="{6A8B858D-2B14-47AD-A105-2721BAFA4C5F}" name="Unidade" dataDxfId="24"/>
    <tableColumn id="3" xr3:uid="{1637BB13-53A7-4E29-99F9-A788D0EBADC4}" name="Ação" dataDxfId="23" dataCellStyle="Normal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ela1563789101112" displayName="Tabela1563789101112" ref="A2:C10" totalsRowShown="0" headerRowDxfId="22" dataDxfId="21" headerRowCellStyle="Normal" dataCellStyle="Normal">
  <autoFilter ref="A2:C10" xr:uid="{00000000-0009-0000-0100-00000B000000}"/>
  <tableColumns count="3">
    <tableColumn id="1" xr3:uid="{00000000-0010-0000-0300-000001000000}" name="ID" dataDxfId="20" dataCellStyle="Normal"/>
    <tableColumn id="2" xr3:uid="{00000000-0010-0000-0300-000002000000}" name="Despesa" dataDxfId="19" dataCellStyle="Normal"/>
    <tableColumn id="3" xr3:uid="{00000000-0010-0000-0300-000003000000}" name="Ação" dataDxfId="18" dataCellStyle="Normal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B000000}" name="Tabela15" displayName="Tabela15" ref="A2:C3" totalsRowShown="0" headerRowDxfId="17" dataDxfId="16" headerRowCellStyle="Normal" dataCellStyle="Normal">
  <autoFilter ref="A2:C3" xr:uid="{00000000-0009-0000-0100-000003000000}"/>
  <tableColumns count="3">
    <tableColumn id="1" xr3:uid="{00000000-0010-0000-0B00-000001000000}" name="ID" dataDxfId="15" dataCellStyle="Normal"/>
    <tableColumn id="2" xr3:uid="{00000000-0010-0000-0B00-000002000000}" name="Receita" dataDxfId="14" dataCellStyle="Normal"/>
    <tableColumn id="3" xr3:uid="{00000000-0010-0000-0B00-000003000000}" name="Ação" dataDxfId="13" dataCellStyle="Normal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ela1" displayName="Tabela1" ref="A2:C14" headerRowDxfId="12" dataDxfId="11" totalsRowDxfId="10" headerRowCellStyle="Normal" dataCellStyle="Normal">
  <autoFilter ref="A2:C14" xr:uid="{00000000-000C-0000-FFFF-FFFF0C000000}"/>
  <tableColumns count="3">
    <tableColumn id="1" xr3:uid="{00000000-0010-0000-0C00-000001000000}" name="ID" totalsRowLabel="Total" dataDxfId="9" totalsRowDxfId="8" dataCellStyle="Normal"/>
    <tableColumn id="2" xr3:uid="{00000000-0010-0000-0C00-000002000000}" name="Tipo" dataDxfId="7" totalsRowDxfId="6" dataCellStyle="Normal"/>
    <tableColumn id="3" xr3:uid="{00000000-0010-0000-0C00-000003000000}" name="Ação" totalsRowFunction="count" dataDxfId="5" totalsRowDxfId="4" dataCellStyle="Normal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D000000}" name="LocalArquivo" displayName="LocalArquivo" ref="B1:B2" insertRow="1" totalsRowShown="0" headerRowDxfId="3" headerRowBorderDxfId="2" tableBorderDxfId="1">
  <autoFilter ref="B1:B2" xr:uid="{00000000-0009-0000-0100-000005000000}"/>
  <tableColumns count="1">
    <tableColumn id="1" xr3:uid="{00000000-0010-0000-0D00-000001000000}" name="Local do arquiv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0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27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D41"/>
  <sheetViews>
    <sheetView topLeftCell="A19" zoomScale="95" zoomScaleNormal="95" workbookViewId="0">
      <selection activeCell="N24" sqref="C24:N24"/>
    </sheetView>
  </sheetViews>
  <sheetFormatPr defaultRowHeight="15" x14ac:dyDescent="0.25"/>
  <cols>
    <col min="1" max="1" width="8.140625" bestFit="1" customWidth="1"/>
    <col min="2" max="2" width="38.85546875" bestFit="1" customWidth="1"/>
    <col min="3" max="3" width="45.85546875" bestFit="1" customWidth="1"/>
    <col min="4" max="4" width="17.7109375" bestFit="1" customWidth="1"/>
    <col min="5" max="5" width="22.5703125" bestFit="1" customWidth="1"/>
    <col min="6" max="6" width="19.42578125" bestFit="1" customWidth="1"/>
    <col min="7" max="7" width="22.5703125" bestFit="1" customWidth="1"/>
    <col min="8" max="8" width="17.7109375" bestFit="1" customWidth="1"/>
    <col min="9" max="9" width="13.28515625" bestFit="1" customWidth="1"/>
    <col min="10" max="10" width="14.5703125" bestFit="1" customWidth="1"/>
    <col min="11" max="11" width="11.140625" bestFit="1" customWidth="1"/>
    <col min="12" max="12" width="18" bestFit="1" customWidth="1"/>
    <col min="13" max="13" width="21.5703125" bestFit="1" customWidth="1"/>
    <col min="14" max="14" width="19.7109375" bestFit="1" customWidth="1"/>
    <col min="15" max="15" width="21.42578125" bestFit="1" customWidth="1"/>
    <col min="16" max="16" width="19.85546875" bestFit="1" customWidth="1"/>
    <col min="17" max="17" width="20.7109375" bestFit="1" customWidth="1"/>
    <col min="18" max="18" width="19.7109375" bestFit="1" customWidth="1"/>
    <col min="19" max="19" width="20.140625" bestFit="1" customWidth="1"/>
    <col min="20" max="20" width="19.85546875" bestFit="1" customWidth="1"/>
    <col min="21" max="21" width="22.5703125" bestFit="1" customWidth="1"/>
    <col min="22" max="22" width="27.85546875" bestFit="1" customWidth="1"/>
    <col min="23" max="23" width="25.85546875" bestFit="1" customWidth="1"/>
    <col min="24" max="24" width="29.85546875" bestFit="1" customWidth="1"/>
    <col min="25" max="25" width="19.140625" bestFit="1" customWidth="1"/>
    <col min="26" max="26" width="26.7109375" bestFit="1" customWidth="1"/>
    <col min="27" max="27" width="27.7109375" bestFit="1" customWidth="1"/>
    <col min="28" max="28" width="27.42578125" bestFit="1" customWidth="1"/>
    <col min="29" max="29" width="21.42578125" bestFit="1" customWidth="1"/>
    <col min="30" max="30" width="24.5703125" bestFit="1" customWidth="1"/>
    <col min="31" max="32" width="18.7109375" bestFit="1" customWidth="1"/>
  </cols>
  <sheetData>
    <row r="1" spans="1:30" x14ac:dyDescent="0.25">
      <c r="A1" s="17" t="s">
        <v>273</v>
      </c>
      <c r="B1" s="17" t="s">
        <v>275</v>
      </c>
      <c r="C1" s="17" t="s">
        <v>276</v>
      </c>
      <c r="D1" s="17" t="s">
        <v>277</v>
      </c>
      <c r="E1" s="17" t="s">
        <v>278</v>
      </c>
      <c r="M1" t="s">
        <v>316</v>
      </c>
      <c r="N1" t="s">
        <v>317</v>
      </c>
      <c r="O1" t="s">
        <v>318</v>
      </c>
      <c r="P1" t="s">
        <v>319</v>
      </c>
      <c r="Q1" t="s">
        <v>320</v>
      </c>
      <c r="R1" t="s">
        <v>321</v>
      </c>
      <c r="S1" t="s">
        <v>322</v>
      </c>
      <c r="T1" t="s">
        <v>323</v>
      </c>
      <c r="U1" t="s">
        <v>324</v>
      </c>
      <c r="V1" t="s">
        <v>325</v>
      </c>
      <c r="W1" t="s">
        <v>326</v>
      </c>
      <c r="X1" t="s">
        <v>327</v>
      </c>
      <c r="Y1" t="s">
        <v>328</v>
      </c>
      <c r="Z1" t="s">
        <v>329</v>
      </c>
      <c r="AA1" t="s">
        <v>330</v>
      </c>
      <c r="AB1" t="s">
        <v>331</v>
      </c>
      <c r="AC1" t="s">
        <v>332</v>
      </c>
      <c r="AD1" t="s">
        <v>333</v>
      </c>
    </row>
    <row r="2" spans="1:30" x14ac:dyDescent="0.25">
      <c r="A2" s="17">
        <v>971876</v>
      </c>
      <c r="B2" s="18" t="s">
        <v>274</v>
      </c>
      <c r="C2" s="21">
        <v>6</v>
      </c>
      <c r="D2" s="19">
        <v>34164</v>
      </c>
      <c r="E2" s="20">
        <f>D2*C2</f>
        <v>204984</v>
      </c>
      <c r="M2" t="s">
        <v>298</v>
      </c>
      <c r="N2" t="s">
        <v>299</v>
      </c>
      <c r="O2" t="s">
        <v>300</v>
      </c>
      <c r="P2" t="s">
        <v>301</v>
      </c>
      <c r="Q2" t="s">
        <v>302</v>
      </c>
      <c r="R2" t="s">
        <v>303</v>
      </c>
      <c r="S2" t="s">
        <v>304</v>
      </c>
      <c r="T2" t="s">
        <v>305</v>
      </c>
      <c r="U2" t="s">
        <v>306</v>
      </c>
      <c r="V2" t="s">
        <v>307</v>
      </c>
      <c r="W2" t="s">
        <v>308</v>
      </c>
      <c r="X2" t="s">
        <v>309</v>
      </c>
      <c r="Y2" t="s">
        <v>310</v>
      </c>
      <c r="Z2" t="s">
        <v>311</v>
      </c>
      <c r="AA2" t="s">
        <v>312</v>
      </c>
      <c r="AB2" t="s">
        <v>313</v>
      </c>
      <c r="AC2" t="s">
        <v>314</v>
      </c>
      <c r="AD2" t="s">
        <v>315</v>
      </c>
    </row>
    <row r="3" spans="1:30" x14ac:dyDescent="0.25">
      <c r="M3" t="s">
        <v>334</v>
      </c>
      <c r="N3" t="s">
        <v>335</v>
      </c>
      <c r="O3" t="s">
        <v>336</v>
      </c>
      <c r="P3" t="s">
        <v>337</v>
      </c>
      <c r="Q3" t="s">
        <v>338</v>
      </c>
      <c r="R3" t="s">
        <v>339</v>
      </c>
      <c r="S3" t="s">
        <v>340</v>
      </c>
      <c r="T3" t="s">
        <v>341</v>
      </c>
      <c r="U3" t="s">
        <v>342</v>
      </c>
      <c r="V3" t="s">
        <v>343</v>
      </c>
      <c r="W3" t="s">
        <v>344</v>
      </c>
      <c r="X3" t="s">
        <v>345</v>
      </c>
      <c r="Y3" t="s">
        <v>346</v>
      </c>
      <c r="Z3" t="s">
        <v>347</v>
      </c>
      <c r="AA3" t="s">
        <v>344</v>
      </c>
      <c r="AB3" t="s">
        <v>348</v>
      </c>
      <c r="AC3" t="s">
        <v>349</v>
      </c>
      <c r="AD3" t="s">
        <v>350</v>
      </c>
    </row>
    <row r="4" spans="1:30" x14ac:dyDescent="0.25">
      <c r="M4" t="s">
        <v>280</v>
      </c>
      <c r="N4" t="s">
        <v>281</v>
      </c>
      <c r="O4" t="s">
        <v>282</v>
      </c>
      <c r="P4" t="s">
        <v>283</v>
      </c>
      <c r="Q4" t="s">
        <v>284</v>
      </c>
      <c r="R4" t="s">
        <v>285</v>
      </c>
      <c r="S4" t="s">
        <v>286</v>
      </c>
      <c r="T4" t="s">
        <v>287</v>
      </c>
      <c r="U4" t="s">
        <v>288</v>
      </c>
      <c r="V4" t="s">
        <v>289</v>
      </c>
      <c r="W4" t="s">
        <v>290</v>
      </c>
      <c r="X4" t="s">
        <v>291</v>
      </c>
      <c r="Y4" t="s">
        <v>292</v>
      </c>
      <c r="Z4" t="s">
        <v>293</v>
      </c>
      <c r="AA4" t="s">
        <v>294</v>
      </c>
      <c r="AB4" t="s">
        <v>295</v>
      </c>
      <c r="AC4" t="s">
        <v>296</v>
      </c>
      <c r="AD4" t="s">
        <v>297</v>
      </c>
    </row>
    <row r="11" spans="1:30" x14ac:dyDescent="0.25">
      <c r="B11" t="s">
        <v>142</v>
      </c>
      <c r="C11">
        <v>2</v>
      </c>
      <c r="D11">
        <v>45366</v>
      </c>
      <c r="E11">
        <v>45337</v>
      </c>
      <c r="F11">
        <v>1465</v>
      </c>
      <c r="G11" t="s">
        <v>403</v>
      </c>
      <c r="H11" t="s">
        <v>474</v>
      </c>
      <c r="I11" t="s">
        <v>149</v>
      </c>
      <c r="J11" t="s">
        <v>512</v>
      </c>
      <c r="K11">
        <v>100</v>
      </c>
      <c r="L11">
        <v>5.6</v>
      </c>
      <c r="M11">
        <v>560</v>
      </c>
      <c r="N11" t="s">
        <v>475</v>
      </c>
    </row>
    <row r="22" spans="2:14" x14ac:dyDescent="0.25">
      <c r="B22" t="s">
        <v>203</v>
      </c>
      <c r="C22" t="s">
        <v>519</v>
      </c>
      <c r="D22" t="s">
        <v>520</v>
      </c>
      <c r="E22" t="s">
        <v>521</v>
      </c>
      <c r="F22" t="s">
        <v>522</v>
      </c>
      <c r="G22" t="s">
        <v>523</v>
      </c>
      <c r="H22" t="s">
        <v>244</v>
      </c>
      <c r="I22" t="s">
        <v>524</v>
      </c>
      <c r="J22" t="s">
        <v>525</v>
      </c>
      <c r="K22" t="s">
        <v>526</v>
      </c>
      <c r="L22" t="s">
        <v>527</v>
      </c>
      <c r="M22" t="s">
        <v>528</v>
      </c>
      <c r="N22" t="s">
        <v>529</v>
      </c>
    </row>
    <row r="23" spans="2:14" x14ac:dyDescent="0.25">
      <c r="C23" t="s">
        <v>530</v>
      </c>
      <c r="D23" t="s">
        <v>543</v>
      </c>
    </row>
    <row r="24" spans="2:14" x14ac:dyDescent="0.25">
      <c r="C24" t="str">
        <f t="shared" ref="C24:N24" si="0">C22&amp;$C$23&amp;C27&amp;$D$23</f>
        <v xml:space="preserve">IdTipoDespesas = """ &amp;  TipoDespesas &amp; """ </v>
      </c>
      <c r="D24" t="str">
        <f t="shared" si="0"/>
        <v xml:space="preserve">IdDespesas = """ &amp;  IDDespesas &amp; """ </v>
      </c>
      <c r="E24" t="str">
        <f t="shared" si="0"/>
        <v xml:space="preserve">dtVenc = """ &amp;  DataVencimento &amp; """ </v>
      </c>
      <c r="F24" t="str">
        <f t="shared" si="0"/>
        <v xml:space="preserve">dtEntrada = """ &amp;  DataEntrada  &amp; """ </v>
      </c>
      <c r="G24" t="str">
        <f t="shared" si="0"/>
        <v xml:space="preserve">numNota = """ &amp;  NotaFiscal &amp; """ </v>
      </c>
      <c r="H24" t="str">
        <f t="shared" si="0"/>
        <v xml:space="preserve">idFornecedor = """ &amp;  Fornecedor &amp; """ </v>
      </c>
      <c r="I24" t="str">
        <f t="shared" si="0"/>
        <v xml:space="preserve">idGpProdutos = """ &amp;  Grupo &amp; """ </v>
      </c>
      <c r="J24" t="str">
        <f t="shared" si="0"/>
        <v xml:space="preserve">idProduto = """ &amp;  Produto &amp; """ </v>
      </c>
      <c r="K24" t="str">
        <f t="shared" si="0"/>
        <v xml:space="preserve">idUnd = """ &amp;  Und &amp; """ </v>
      </c>
      <c r="L24" t="str">
        <f t="shared" si="0"/>
        <v xml:space="preserve">qtd = """ &amp;  Quantidade &amp; """ </v>
      </c>
      <c r="M24" t="str">
        <f t="shared" si="0"/>
        <v xml:space="preserve">vlrUnit = """ &amp;  ValorUnitário &amp; """ </v>
      </c>
      <c r="N24" t="str">
        <f t="shared" si="0"/>
        <v xml:space="preserve">vlrTotal = """ &amp;  ValorTotal  &amp; """ </v>
      </c>
    </row>
    <row r="27" spans="2:14" x14ac:dyDescent="0.25">
      <c r="C27" t="s">
        <v>531</v>
      </c>
      <c r="D27" t="s">
        <v>532</v>
      </c>
      <c r="E27" t="s">
        <v>533</v>
      </c>
      <c r="F27" t="s">
        <v>534</v>
      </c>
      <c r="G27" t="s">
        <v>535</v>
      </c>
      <c r="H27" t="s">
        <v>536</v>
      </c>
      <c r="I27" t="s">
        <v>537</v>
      </c>
      <c r="J27" t="s">
        <v>538</v>
      </c>
      <c r="K27" t="s">
        <v>539</v>
      </c>
      <c r="L27" t="s">
        <v>540</v>
      </c>
      <c r="M27" t="s">
        <v>541</v>
      </c>
      <c r="N27" t="s">
        <v>542</v>
      </c>
    </row>
    <row r="30" spans="2:14" x14ac:dyDescent="0.25">
      <c r="G30" t="s">
        <v>531</v>
      </c>
    </row>
    <row r="31" spans="2:14" x14ac:dyDescent="0.25">
      <c r="G31" t="s">
        <v>532</v>
      </c>
    </row>
    <row r="32" spans="2:14" x14ac:dyDescent="0.25">
      <c r="G32" t="s">
        <v>533</v>
      </c>
    </row>
    <row r="33" spans="7:7" x14ac:dyDescent="0.25">
      <c r="G33" t="s">
        <v>534</v>
      </c>
    </row>
    <row r="34" spans="7:7" x14ac:dyDescent="0.25">
      <c r="G34" t="s">
        <v>535</v>
      </c>
    </row>
    <row r="35" spans="7:7" x14ac:dyDescent="0.25">
      <c r="G35" t="s">
        <v>536</v>
      </c>
    </row>
    <row r="36" spans="7:7" x14ac:dyDescent="0.25">
      <c r="G36" t="s">
        <v>537</v>
      </c>
    </row>
    <row r="37" spans="7:7" x14ac:dyDescent="0.25">
      <c r="G37" t="s">
        <v>538</v>
      </c>
    </row>
    <row r="38" spans="7:7" x14ac:dyDescent="0.25">
      <c r="G38" t="s">
        <v>539</v>
      </c>
    </row>
    <row r="39" spans="7:7" x14ac:dyDescent="0.25">
      <c r="G39" t="s">
        <v>540</v>
      </c>
    </row>
    <row r="40" spans="7:7" x14ac:dyDescent="0.25">
      <c r="G40" t="s">
        <v>541</v>
      </c>
    </row>
    <row r="41" spans="7:7" x14ac:dyDescent="0.25">
      <c r="G41" t="s">
        <v>542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6"/>
  <dimension ref="A1:N115"/>
  <sheetViews>
    <sheetView topLeftCell="K88" zoomScale="85" zoomScaleNormal="85" workbookViewId="0">
      <selection activeCell="N24" sqref="C24:N24"/>
    </sheetView>
  </sheetViews>
  <sheetFormatPr defaultRowHeight="15" x14ac:dyDescent="0.25"/>
  <cols>
    <col min="1" max="1" width="22.140625" bestFit="1" customWidth="1"/>
    <col min="2" max="2" width="13.42578125" bestFit="1" customWidth="1"/>
    <col min="3" max="3" width="12.42578125" bestFit="1" customWidth="1"/>
    <col min="4" max="4" width="14.140625" bestFit="1" customWidth="1"/>
    <col min="5" max="5" width="35.5703125" bestFit="1" customWidth="1"/>
    <col min="6" max="6" width="16.85546875" bestFit="1" customWidth="1"/>
    <col min="7" max="7" width="31.85546875" customWidth="1"/>
    <col min="9" max="9" width="12.42578125" bestFit="1" customWidth="1"/>
    <col min="13" max="13" width="108.5703125" bestFit="1" customWidth="1"/>
    <col min="14" max="14" width="216" bestFit="1" customWidth="1"/>
  </cols>
  <sheetData>
    <row r="1" spans="1:14" x14ac:dyDescent="0.25">
      <c r="A1" t="s">
        <v>20</v>
      </c>
      <c r="B1" t="s">
        <v>15</v>
      </c>
      <c r="C1" t="s">
        <v>21</v>
      </c>
      <c r="D1" t="s">
        <v>400</v>
      </c>
      <c r="E1" t="s">
        <v>458</v>
      </c>
      <c r="F1" t="s">
        <v>457</v>
      </c>
      <c r="M1" t="s">
        <v>69</v>
      </c>
      <c r="N1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M1,$F$2,$G$2),$F$3,$G$3),$F$4,$G$4),$F$5,$G$5),$F$6,$G$6),$F$7,$G$7),$F$8,$G$8),$E$9,$G$9),$F$10,$G$10),$F$11,$G$11),$F$12,$G$12),$F$13,$G$13),$F$14,$G$14),$F$15,$G$15),$F$16,$G$16),$F$17,$G$17),$F$18,$G$18),$F$19,$G$19),$F$20,$G$20),$F$21,$G$21),$F$22,$G$22),$F$23,$G$23),$F$24,$G$24),$F$25,$G$25),$F$26,$G$26)</f>
        <v>Dim gConexaoAplMed As ADODB.Connection</v>
      </c>
    </row>
    <row r="2" spans="1:14" x14ac:dyDescent="0.25">
      <c r="A2" t="s">
        <v>27</v>
      </c>
      <c r="B2" t="s">
        <v>23</v>
      </c>
      <c r="C2" t="s">
        <v>380</v>
      </c>
      <c r="D2" t="s">
        <v>166</v>
      </c>
      <c r="F2" t="s">
        <v>24</v>
      </c>
      <c r="G2" t="str">
        <f>F2&amp;$F$1</f>
        <v>gConexaoAplMed</v>
      </c>
      <c r="H2">
        <f>LEN(G2)</f>
        <v>14</v>
      </c>
      <c r="I2" t="b">
        <f>H2&lt;28</f>
        <v>1</v>
      </c>
      <c r="M2" t="s">
        <v>70</v>
      </c>
      <c r="N2" t="str">
        <f t="shared" ref="N2:N65" si="0">SUBSTITUTE(SUBSTITUTE(SUBSTITUTE(SUBSTITUTE(SUBSTITUTE(SUBSTITUTE(SUBSTITUTE(SUBSTITUTE(SUBSTITUTE(SUBSTITUTE(SUBSTITUTE(SUBSTITUTE(SUBSTITUTE(SUBSTITUTE(SUBSTITUTE(SUBSTITUTE(SUBSTITUTE(SUBSTITUTE(SUBSTITUTE(SUBSTITUTE(SUBSTITUTE(SUBSTITUTE(SUBSTITUTE(SUBSTITUTE(SUBSTITUTE(M2,$F$2,$G$2),$F$3,$G$3),$F$4,$G$4),$F$5,$G$5),$F$6,$G$6),$F$7,$G$7),$F$8,$G$8),$E$9,$G$9),$F$10,$G$10),$F$11,$G$11),$F$12,$G$12),$F$13,$G$13),$F$14,$G$14),$F$15,$G$15),$F$16,$G$16),$F$17,$G$17),$F$18,$G$18),$F$19,$G$19),$F$20,$G$20),$F$21,$G$21),$F$22,$G$22),$F$23,$G$23),$F$24,$G$24),$F$25,$G$25),$F$26,$G$26)</f>
        <v>Private Sub lsConectarAplMed()</v>
      </c>
    </row>
    <row r="3" spans="1:14" x14ac:dyDescent="0.25">
      <c r="A3" t="s">
        <v>33</v>
      </c>
      <c r="B3" t="s">
        <v>23</v>
      </c>
      <c r="C3" t="s">
        <v>380</v>
      </c>
      <c r="D3" t="s">
        <v>166</v>
      </c>
      <c r="F3" t="s">
        <v>26</v>
      </c>
      <c r="G3" t="str">
        <f t="shared" ref="G3:G16" si="1">F3&amp;$F$1</f>
        <v>lsConectarAplMed</v>
      </c>
      <c r="H3">
        <f t="shared" ref="H3:H17" si="2">LEN(G3)</f>
        <v>16</v>
      </c>
      <c r="I3" t="b">
        <f t="shared" ref="I3:I17" si="3">H3&lt;28</f>
        <v>1</v>
      </c>
      <c r="M3" t="s">
        <v>71</v>
      </c>
      <c r="N3" t="str">
        <f t="shared" si="0"/>
        <v xml:space="preserve">    Dim strConexaoAplMed As String</v>
      </c>
    </row>
    <row r="4" spans="1:14" x14ac:dyDescent="0.25">
      <c r="A4" t="s">
        <v>35</v>
      </c>
      <c r="B4" t="s">
        <v>23</v>
      </c>
      <c r="C4" t="s">
        <v>380</v>
      </c>
      <c r="D4" t="s">
        <v>166</v>
      </c>
      <c r="F4" t="s">
        <v>28</v>
      </c>
      <c r="G4" t="str">
        <f t="shared" si="1"/>
        <v>strConexaoAplMed</v>
      </c>
      <c r="H4">
        <f t="shared" si="2"/>
        <v>16</v>
      </c>
      <c r="I4" t="b">
        <f t="shared" si="3"/>
        <v>1</v>
      </c>
      <c r="M4" t="s">
        <v>72</v>
      </c>
      <c r="N4" t="str">
        <f t="shared" si="0"/>
        <v xml:space="preserve">    Dim lCaminhoAplMed   As String</v>
      </c>
    </row>
    <row r="5" spans="1:14" x14ac:dyDescent="0.25">
      <c r="A5" t="s">
        <v>25</v>
      </c>
      <c r="B5" t="s">
        <v>23</v>
      </c>
      <c r="C5" t="s">
        <v>380</v>
      </c>
      <c r="D5" t="s">
        <v>167</v>
      </c>
      <c r="F5" t="s">
        <v>30</v>
      </c>
      <c r="G5" t="str">
        <f t="shared" si="1"/>
        <v>lCaminhoAplMed</v>
      </c>
      <c r="H5">
        <f t="shared" si="2"/>
        <v>14</v>
      </c>
      <c r="I5" t="b">
        <f t="shared" si="3"/>
        <v>1</v>
      </c>
      <c r="M5" t="s">
        <v>73</v>
      </c>
      <c r="N5" t="str">
        <f t="shared" si="0"/>
        <v xml:space="preserve">    Set gConexaoAplMed = New ADODB.Connection</v>
      </c>
    </row>
    <row r="6" spans="1:14" x14ac:dyDescent="0.25">
      <c r="A6" t="s">
        <v>31</v>
      </c>
      <c r="B6" t="s">
        <v>23</v>
      </c>
      <c r="C6" t="s">
        <v>380</v>
      </c>
      <c r="D6" t="s">
        <v>167</v>
      </c>
      <c r="F6" t="s">
        <v>32</v>
      </c>
      <c r="G6" t="str">
        <f t="shared" si="1"/>
        <v>lsDesconectarAplMed</v>
      </c>
      <c r="H6">
        <f t="shared" si="2"/>
        <v>19</v>
      </c>
      <c r="I6" t="b">
        <f t="shared" si="3"/>
        <v>1</v>
      </c>
      <c r="N6" t="str">
        <f t="shared" si="0"/>
        <v/>
      </c>
    </row>
    <row r="7" spans="1:14" x14ac:dyDescent="0.25">
      <c r="A7" t="s">
        <v>38</v>
      </c>
      <c r="B7" t="s">
        <v>23</v>
      </c>
      <c r="C7" t="s">
        <v>380</v>
      </c>
      <c r="D7" t="s">
        <v>167</v>
      </c>
      <c r="F7" t="s">
        <v>34</v>
      </c>
      <c r="G7" t="str">
        <f t="shared" si="1"/>
        <v>lsListarDadosAplMed</v>
      </c>
      <c r="H7">
        <f t="shared" si="2"/>
        <v>19</v>
      </c>
      <c r="I7" t="b">
        <f t="shared" si="3"/>
        <v>1</v>
      </c>
      <c r="M7" t="s">
        <v>74</v>
      </c>
      <c r="N7" t="str">
        <f t="shared" si="0"/>
        <v xml:space="preserve">    lCaminhoAplMed = Configuracao.Range("B4").Value</v>
      </c>
    </row>
    <row r="8" spans="1:14" x14ac:dyDescent="0.25">
      <c r="A8" t="s">
        <v>29</v>
      </c>
      <c r="B8" t="s">
        <v>23</v>
      </c>
      <c r="C8" t="s">
        <v>395</v>
      </c>
      <c r="D8" t="s">
        <v>167</v>
      </c>
      <c r="F8" t="s">
        <v>36</v>
      </c>
      <c r="G8" t="str">
        <f t="shared" si="1"/>
        <v>lrsAplMed</v>
      </c>
      <c r="H8">
        <f t="shared" si="2"/>
        <v>9</v>
      </c>
      <c r="I8" t="b">
        <f t="shared" si="3"/>
        <v>1</v>
      </c>
      <c r="M8" t="s">
        <v>75</v>
      </c>
      <c r="N8" t="str">
        <f t="shared" si="0"/>
        <v xml:space="preserve">    </v>
      </c>
    </row>
    <row r="9" spans="1:14" x14ac:dyDescent="0.25">
      <c r="A9" t="s">
        <v>37</v>
      </c>
      <c r="B9" t="s">
        <v>23</v>
      </c>
      <c r="C9" t="s">
        <v>54</v>
      </c>
      <c r="D9" t="s">
        <v>166</v>
      </c>
      <c r="E9" t="s">
        <v>123</v>
      </c>
      <c r="F9" t="s">
        <v>124</v>
      </c>
      <c r="G9" t="str">
        <f t="shared" si="1"/>
        <v xml:space="preserve"> iAplMed</v>
      </c>
      <c r="H9">
        <f t="shared" si="2"/>
        <v>8</v>
      </c>
      <c r="I9" t="b">
        <f t="shared" si="3"/>
        <v>1</v>
      </c>
      <c r="M9" t="s">
        <v>76</v>
      </c>
      <c r="N9" t="str">
        <f t="shared" si="0"/>
        <v xml:space="preserve">    strConexaoAplMed = "Provider=Microsoft.ACE.OLEDB.12.0;Data Source=" &amp; lCaminhoAplMed &amp; ";Persist Security Info=False"</v>
      </c>
    </row>
    <row r="10" spans="1:14" x14ac:dyDescent="0.25">
      <c r="A10" t="s">
        <v>40</v>
      </c>
      <c r="B10" t="s">
        <v>41</v>
      </c>
      <c r="C10" t="s">
        <v>54</v>
      </c>
      <c r="D10" t="s">
        <v>166</v>
      </c>
      <c r="F10" t="s">
        <v>39</v>
      </c>
      <c r="G10" t="str">
        <f t="shared" si="1"/>
        <v>lUltimaLinhaAtivaAplMed</v>
      </c>
      <c r="H10">
        <f t="shared" si="2"/>
        <v>23</v>
      </c>
      <c r="I10" t="b">
        <f t="shared" si="3"/>
        <v>1</v>
      </c>
      <c r="M10" t="s">
        <v>75</v>
      </c>
      <c r="N10" t="str">
        <f t="shared" si="0"/>
        <v xml:space="preserve">    </v>
      </c>
    </row>
    <row r="11" spans="1:14" x14ac:dyDescent="0.25">
      <c r="A11" t="s">
        <v>43</v>
      </c>
      <c r="B11" t="s">
        <v>41</v>
      </c>
      <c r="C11" t="s">
        <v>54</v>
      </c>
      <c r="D11" t="s">
        <v>166</v>
      </c>
      <c r="F11" t="s">
        <v>42</v>
      </c>
      <c r="G11" t="str">
        <f t="shared" si="1"/>
        <v>lsInserirAplMed</v>
      </c>
      <c r="H11">
        <f t="shared" si="2"/>
        <v>15</v>
      </c>
      <c r="I11" t="b">
        <f t="shared" si="3"/>
        <v>1</v>
      </c>
      <c r="M11" t="s">
        <v>77</v>
      </c>
      <c r="N11" t="str">
        <f t="shared" si="0"/>
        <v xml:space="preserve">    gConexaoAplMed.Open strConexaoAplMed</v>
      </c>
    </row>
    <row r="12" spans="1:14" x14ac:dyDescent="0.25">
      <c r="A12" t="s">
        <v>45</v>
      </c>
      <c r="B12" t="s">
        <v>41</v>
      </c>
      <c r="C12" t="s">
        <v>54</v>
      </c>
      <c r="D12" t="s">
        <v>166</v>
      </c>
      <c r="F12" t="s">
        <v>44</v>
      </c>
      <c r="G12" t="str">
        <f t="shared" si="1"/>
        <v>lsAlterarAplMed</v>
      </c>
      <c r="H12">
        <f t="shared" si="2"/>
        <v>15</v>
      </c>
      <c r="I12" t="b">
        <f t="shared" si="3"/>
        <v>1</v>
      </c>
      <c r="M12" t="s">
        <v>78</v>
      </c>
      <c r="N12" t="str">
        <f t="shared" si="0"/>
        <v>End Sub</v>
      </c>
    </row>
    <row r="13" spans="1:14" x14ac:dyDescent="0.25">
      <c r="A13" t="s">
        <v>47</v>
      </c>
      <c r="B13" t="s">
        <v>41</v>
      </c>
      <c r="C13" t="s">
        <v>54</v>
      </c>
      <c r="D13" t="s">
        <v>166</v>
      </c>
      <c r="F13" t="s">
        <v>46</v>
      </c>
      <c r="G13" t="str">
        <f t="shared" si="1"/>
        <v>lsExcluirAplMed</v>
      </c>
      <c r="H13">
        <f t="shared" si="2"/>
        <v>15</v>
      </c>
      <c r="I13" t="b">
        <f t="shared" si="3"/>
        <v>1</v>
      </c>
      <c r="M13" t="s">
        <v>79</v>
      </c>
      <c r="N13" t="str">
        <f t="shared" si="0"/>
        <v>Private Sub lsDesconectarAplMed()</v>
      </c>
    </row>
    <row r="14" spans="1:14" x14ac:dyDescent="0.25">
      <c r="A14" t="s">
        <v>49</v>
      </c>
      <c r="B14" t="s">
        <v>41</v>
      </c>
      <c r="C14" t="s">
        <v>54</v>
      </c>
      <c r="D14" t="s">
        <v>166</v>
      </c>
      <c r="F14" t="s">
        <v>48</v>
      </c>
      <c r="G14" t="str">
        <f t="shared" si="1"/>
        <v>lSQLAplMed</v>
      </c>
      <c r="H14">
        <f t="shared" si="2"/>
        <v>10</v>
      </c>
      <c r="I14" t="b">
        <f t="shared" si="3"/>
        <v>1</v>
      </c>
      <c r="M14" t="s">
        <v>80</v>
      </c>
      <c r="N14" t="str">
        <f t="shared" si="0"/>
        <v xml:space="preserve">    If Not gConexaoAplMed Is Nothing Then</v>
      </c>
    </row>
    <row r="15" spans="1:14" x14ac:dyDescent="0.25">
      <c r="A15" t="s">
        <v>63</v>
      </c>
      <c r="B15" t="s">
        <v>41</v>
      </c>
      <c r="C15" t="s">
        <v>54</v>
      </c>
      <c r="D15" t="s">
        <v>166</v>
      </c>
      <c r="F15" t="s">
        <v>50</v>
      </c>
      <c r="G15" t="str">
        <f t="shared" si="1"/>
        <v>LinhaDescriçãoAplMed</v>
      </c>
      <c r="H15">
        <f t="shared" si="2"/>
        <v>20</v>
      </c>
      <c r="I15" t="b">
        <f t="shared" si="3"/>
        <v>1</v>
      </c>
      <c r="M15" t="s">
        <v>81</v>
      </c>
      <c r="N15" t="str">
        <f t="shared" si="0"/>
        <v xml:space="preserve">        gConexaoAplMed.Close</v>
      </c>
    </row>
    <row r="16" spans="1:14" x14ac:dyDescent="0.25">
      <c r="A16" t="s">
        <v>51</v>
      </c>
      <c r="B16" t="s">
        <v>41</v>
      </c>
      <c r="C16" t="s">
        <v>54</v>
      </c>
      <c r="D16" t="s">
        <v>166</v>
      </c>
      <c r="F16" t="s">
        <v>52</v>
      </c>
      <c r="G16" t="str">
        <f t="shared" si="1"/>
        <v>LinhaCódigoAplMed</v>
      </c>
      <c r="H16">
        <f t="shared" si="2"/>
        <v>17</v>
      </c>
      <c r="I16" t="b">
        <f t="shared" si="3"/>
        <v>1</v>
      </c>
      <c r="M16" t="s">
        <v>82</v>
      </c>
      <c r="N16" t="str">
        <f t="shared" si="0"/>
        <v xml:space="preserve">        Set gConexaoAplMed = Nothing</v>
      </c>
    </row>
    <row r="17" spans="1:14" x14ac:dyDescent="0.25">
      <c r="A17" t="s">
        <v>0</v>
      </c>
      <c r="B17" t="s">
        <v>41</v>
      </c>
      <c r="C17" t="s">
        <v>54</v>
      </c>
      <c r="D17" t="s">
        <v>166</v>
      </c>
      <c r="F17" t="s">
        <v>125</v>
      </c>
      <c r="G17" t="str">
        <f>F17&amp;"Tab"&amp;F1</f>
        <v>lsAtualizarTabAplMed</v>
      </c>
      <c r="H17">
        <f t="shared" si="2"/>
        <v>20</v>
      </c>
      <c r="I17" t="b">
        <f t="shared" si="3"/>
        <v>1</v>
      </c>
      <c r="M17" t="s">
        <v>83</v>
      </c>
      <c r="N17" t="str">
        <f t="shared" si="0"/>
        <v xml:space="preserve">    End If</v>
      </c>
    </row>
    <row r="18" spans="1:14" x14ac:dyDescent="0.25">
      <c r="A18" t="s">
        <v>53</v>
      </c>
      <c r="B18" t="s">
        <v>41</v>
      </c>
      <c r="C18" t="s">
        <v>54</v>
      </c>
      <c r="D18" t="s">
        <v>166</v>
      </c>
      <c r="E18" t="s">
        <v>127</v>
      </c>
      <c r="F18" t="s">
        <v>126</v>
      </c>
      <c r="G18" t="str">
        <f>E18&amp;$F$1&amp;","</f>
        <v>(iAplMed,</v>
      </c>
      <c r="M18" t="s">
        <v>78</v>
      </c>
      <c r="N18" t="str">
        <f t="shared" si="0"/>
        <v>End Sub</v>
      </c>
    </row>
    <row r="19" spans="1:14" x14ac:dyDescent="0.25">
      <c r="A19" t="s">
        <v>14</v>
      </c>
      <c r="B19" t="s">
        <v>41</v>
      </c>
      <c r="C19" t="s">
        <v>54</v>
      </c>
      <c r="D19" t="s">
        <v>166</v>
      </c>
      <c r="F19" t="s">
        <v>129</v>
      </c>
      <c r="G19" t="str">
        <f>"INTO "&amp;$F$1&amp;" ("</f>
        <v>INTO AplMed (</v>
      </c>
      <c r="M19" t="s">
        <v>84</v>
      </c>
      <c r="N19" t="str">
        <f t="shared" si="0"/>
        <v>Public Sub lsAtualizarTabAplMed()</v>
      </c>
    </row>
    <row r="20" spans="1:14" x14ac:dyDescent="0.25">
      <c r="A20" t="s">
        <v>55</v>
      </c>
      <c r="B20" t="s">
        <v>41</v>
      </c>
      <c r="C20" t="s">
        <v>54</v>
      </c>
      <c r="D20" t="s">
        <v>166</v>
      </c>
      <c r="E20" t="s">
        <v>459</v>
      </c>
      <c r="F20" t="s">
        <v>130</v>
      </c>
      <c r="G20" t="str">
        <f>E20</f>
        <v>id, idAnimal, numBrinco, idSitio, desCategoria, desStatus, idSanidade, idMedicamento, desUnidade, dtData, numQtde, desObservacao</v>
      </c>
      <c r="M20" t="s">
        <v>85</v>
      </c>
      <c r="N20" t="str">
        <f t="shared" si="0"/>
        <v xml:space="preserve">    Dim iAplMed                  As Long</v>
      </c>
    </row>
    <row r="21" spans="1:14" x14ac:dyDescent="0.25">
      <c r="A21" t="s">
        <v>22</v>
      </c>
      <c r="B21" t="s">
        <v>23</v>
      </c>
      <c r="C21" t="s">
        <v>54</v>
      </c>
      <c r="D21" t="s">
        <v>167</v>
      </c>
      <c r="F21" t="s">
        <v>134</v>
      </c>
      <c r="G21" t="str">
        <f>"UPDATE "&amp;$A$5&amp;" "</f>
        <v xml:space="preserve">UPDATE AplicacaoMedicamento </v>
      </c>
      <c r="M21" t="s">
        <v>86</v>
      </c>
      <c r="N21" t="str">
        <f t="shared" si="0"/>
        <v xml:space="preserve">    Dim lUltimaLinhaAtivaAplMed   As Long</v>
      </c>
    </row>
    <row r="22" spans="1:14" x14ac:dyDescent="0.25">
      <c r="F22" t="s">
        <v>135</v>
      </c>
      <c r="G22" t="str">
        <f>"FROM "&amp;$A$5&amp;" "</f>
        <v xml:space="preserve">FROM AplicacaoMedicamento </v>
      </c>
      <c r="M22" t="s">
        <v>75</v>
      </c>
      <c r="N22" t="str">
        <f t="shared" si="0"/>
        <v xml:space="preserve">    </v>
      </c>
    </row>
    <row r="23" spans="1:14" x14ac:dyDescent="0.25">
      <c r="F23" t="s">
        <v>136</v>
      </c>
      <c r="G23" t="str">
        <f>"Select * from "&amp;$A$5&amp;" "</f>
        <v xml:space="preserve">Select * from AplicacaoMedicamento </v>
      </c>
      <c r="M23" t="s">
        <v>87</v>
      </c>
      <c r="N23" t="str">
        <f t="shared" si="0"/>
        <v xml:space="preserve">    lUltimaLinhaAtivaAplMed = Worksheets("Aplicação Medicamentos").Cells(Worksheets("Aplicação Medicamentos").Rows.Count, 2).End(xlUp).Row</v>
      </c>
    </row>
    <row r="24" spans="1:14" x14ac:dyDescent="0.25">
      <c r="F24" t="s">
        <v>137</v>
      </c>
      <c r="G24" t="str">
        <f>""""&amp;E1&amp;""""</f>
        <v>"Aplicação Medicamentos"</v>
      </c>
      <c r="M24" t="s">
        <v>75</v>
      </c>
      <c r="N24" t="str">
        <f t="shared" si="0"/>
        <v xml:space="preserve">    </v>
      </c>
    </row>
    <row r="25" spans="1:14" x14ac:dyDescent="0.25">
      <c r="F25" t="s">
        <v>138</v>
      </c>
      <c r="G25" t="str">
        <f>"Next i"&amp;$F$1</f>
        <v>Next iAplMed</v>
      </c>
      <c r="M25" t="s">
        <v>88</v>
      </c>
      <c r="N25" t="str">
        <f t="shared" si="0"/>
        <v xml:space="preserve">    For iAplMed= 3 To lUltimaLinhaAtivaAplMed</v>
      </c>
    </row>
    <row r="26" spans="1:14" x14ac:dyDescent="0.25">
      <c r="E26" t="s">
        <v>402</v>
      </c>
      <c r="G26" t="str">
        <f>E26</f>
        <v>("Tabela16")</v>
      </c>
      <c r="M26" t="s">
        <v>89</v>
      </c>
      <c r="N26" t="str">
        <f t="shared" si="0"/>
        <v xml:space="preserve">        Select Case Cells(iAplMed, 3).Value</v>
      </c>
    </row>
    <row r="27" spans="1:14" x14ac:dyDescent="0.25">
      <c r="M27" t="s">
        <v>90</v>
      </c>
      <c r="N27" t="str">
        <f t="shared" si="0"/>
        <v xml:space="preserve">            Case "Inserir"</v>
      </c>
    </row>
    <row r="28" spans="1:14" x14ac:dyDescent="0.25">
      <c r="M28" t="s">
        <v>91</v>
      </c>
      <c r="N28" t="str">
        <f t="shared" si="0"/>
        <v xml:space="preserve">                lsInserirAplMed Cells(iAplMed, 2)</v>
      </c>
    </row>
    <row r="29" spans="1:14" x14ac:dyDescent="0.25">
      <c r="M29" t="s">
        <v>92</v>
      </c>
      <c r="N29" t="str">
        <f t="shared" si="0"/>
        <v xml:space="preserve">            Case "Alterar"</v>
      </c>
    </row>
    <row r="30" spans="1:14" ht="18" x14ac:dyDescent="0.25">
      <c r="E30" s="5" t="s">
        <v>168</v>
      </c>
      <c r="M30" t="s">
        <v>93</v>
      </c>
      <c r="N30" t="str">
        <f t="shared" si="0"/>
        <v xml:space="preserve">                lsAlterarAplMed Cells(iAplMed, 2), Cells(iAplMed, 1)</v>
      </c>
    </row>
    <row r="31" spans="1:14" x14ac:dyDescent="0.25">
      <c r="M31" t="s">
        <v>94</v>
      </c>
      <c r="N31" t="str">
        <f t="shared" si="0"/>
        <v xml:space="preserve">            Case "Excluir"</v>
      </c>
    </row>
    <row r="32" spans="1:14" x14ac:dyDescent="0.25">
      <c r="M32" t="s">
        <v>95</v>
      </c>
      <c r="N32" t="str">
        <f t="shared" si="0"/>
        <v xml:space="preserve">                lsExcluirAplMed Cells(iAplMed, 1)</v>
      </c>
    </row>
    <row r="33" spans="13:14" x14ac:dyDescent="0.25">
      <c r="M33" t="s">
        <v>96</v>
      </c>
      <c r="N33" t="str">
        <f t="shared" si="0"/>
        <v xml:space="preserve">        End Select</v>
      </c>
    </row>
    <row r="34" spans="13:14" x14ac:dyDescent="0.25">
      <c r="M34" t="s">
        <v>97</v>
      </c>
      <c r="N34" t="str">
        <f t="shared" si="0"/>
        <v xml:space="preserve">    Next iAplMed</v>
      </c>
    </row>
    <row r="35" spans="13:14" x14ac:dyDescent="0.25">
      <c r="M35" t="s">
        <v>75</v>
      </c>
      <c r="N35" t="str">
        <f t="shared" si="0"/>
        <v xml:space="preserve">    </v>
      </c>
    </row>
    <row r="36" spans="13:14" x14ac:dyDescent="0.25">
      <c r="M36" t="s">
        <v>98</v>
      </c>
      <c r="N36" t="str">
        <f t="shared" si="0"/>
        <v xml:space="preserve">    lsListarDadosAplMed</v>
      </c>
    </row>
    <row r="37" spans="13:14" x14ac:dyDescent="0.25">
      <c r="M37" t="s">
        <v>78</v>
      </c>
      <c r="N37" t="str">
        <f t="shared" si="0"/>
        <v>End Sub</v>
      </c>
    </row>
    <row r="38" spans="13:14" x14ac:dyDescent="0.25">
      <c r="M38" t="s">
        <v>99</v>
      </c>
      <c r="N38" t="str">
        <f t="shared" si="0"/>
        <v>Public Sub lsInserirAplMed(ByVal LinhaDescriçãoAplMed As String)</v>
      </c>
    </row>
    <row r="39" spans="13:14" x14ac:dyDescent="0.25">
      <c r="M39" t="s">
        <v>100</v>
      </c>
      <c r="N39" t="str">
        <f t="shared" si="0"/>
        <v xml:space="preserve">    Dim lSQLAplMed As String</v>
      </c>
    </row>
    <row r="40" spans="13:14" x14ac:dyDescent="0.25">
      <c r="M40" t="s">
        <v>101</v>
      </c>
      <c r="N40" t="str">
        <f t="shared" si="0"/>
        <v xml:space="preserve">                      </v>
      </c>
    </row>
    <row r="41" spans="13:14" x14ac:dyDescent="0.25">
      <c r="M41" t="s">
        <v>102</v>
      </c>
      <c r="N41" t="str">
        <f t="shared" si="0"/>
        <v xml:space="preserve">    lsConectarAplMed</v>
      </c>
    </row>
    <row r="42" spans="13:14" x14ac:dyDescent="0.25">
      <c r="M42" t="s">
        <v>75</v>
      </c>
      <c r="N42" t="str">
        <f t="shared" si="0"/>
        <v xml:space="preserve">    </v>
      </c>
    </row>
    <row r="43" spans="13:14" x14ac:dyDescent="0.25">
      <c r="M43" t="s">
        <v>128</v>
      </c>
      <c r="N43" t="str">
        <f t="shared" si="0"/>
        <v xml:space="preserve">    lSQLAplMed = "INSERT INTO AplMed ( id, idAnimal, numBrinco, idSitio, desCategoria, desStatus, idSanidade, idMedicamento, desUnidade, dtData, numQtde, desObservacao )" &amp; _</v>
      </c>
    </row>
    <row r="44" spans="13:14" x14ac:dyDescent="0.25">
      <c r="M44" t="s">
        <v>103</v>
      </c>
      <c r="N44" t="str">
        <f t="shared" si="0"/>
        <v xml:space="preserve">    "VALUES ( """ &amp; LinhaDescriçãoAplMed &amp; """)"</v>
      </c>
    </row>
    <row r="45" spans="13:14" x14ac:dyDescent="0.25">
      <c r="M45" t="s">
        <v>75</v>
      </c>
      <c r="N45" t="str">
        <f t="shared" si="0"/>
        <v xml:space="preserve">    </v>
      </c>
    </row>
    <row r="46" spans="13:14" x14ac:dyDescent="0.25">
      <c r="M46" t="s">
        <v>104</v>
      </c>
      <c r="N46" t="str">
        <f t="shared" si="0"/>
        <v xml:space="preserve">    gConexaoAplMed.Execute lSQLAplMed</v>
      </c>
    </row>
    <row r="47" spans="13:14" x14ac:dyDescent="0.25">
      <c r="M47" t="s">
        <v>105</v>
      </c>
      <c r="N47" t="str">
        <f t="shared" si="0"/>
        <v xml:space="preserve">    lsDesconectarAplMed</v>
      </c>
    </row>
    <row r="48" spans="13:14" x14ac:dyDescent="0.25">
      <c r="M48" t="s">
        <v>78</v>
      </c>
      <c r="N48" t="str">
        <f t="shared" si="0"/>
        <v>End Sub</v>
      </c>
    </row>
    <row r="49" spans="13:14" x14ac:dyDescent="0.25">
      <c r="N49" t="str">
        <f t="shared" si="0"/>
        <v/>
      </c>
    </row>
    <row r="50" spans="13:14" x14ac:dyDescent="0.25">
      <c r="M50" t="s">
        <v>106</v>
      </c>
      <c r="N50" t="str">
        <f t="shared" si="0"/>
        <v>Public Sub lsAlterarAplMed(ByVal LinhaDescriçãoAplMed As String, ByVal LinhaCódigoAplMed As Long)</v>
      </c>
    </row>
    <row r="51" spans="13:14" x14ac:dyDescent="0.25">
      <c r="M51" t="s">
        <v>100</v>
      </c>
      <c r="N51" t="str">
        <f t="shared" si="0"/>
        <v xml:space="preserve">    Dim lSQLAplMed As String</v>
      </c>
    </row>
    <row r="52" spans="13:14" x14ac:dyDescent="0.25">
      <c r="M52" t="s">
        <v>101</v>
      </c>
      <c r="N52" t="str">
        <f t="shared" si="0"/>
        <v xml:space="preserve">                      </v>
      </c>
    </row>
    <row r="53" spans="13:14" x14ac:dyDescent="0.25">
      <c r="M53" t="s">
        <v>107</v>
      </c>
      <c r="N53" t="str">
        <f t="shared" si="0"/>
        <v xml:space="preserve">    If LinhaCódigoAplMed &gt; 0 Then</v>
      </c>
    </row>
    <row r="54" spans="13:14" x14ac:dyDescent="0.25">
      <c r="M54" t="s">
        <v>108</v>
      </c>
      <c r="N54" t="str">
        <f t="shared" si="0"/>
        <v xml:space="preserve">        lsConectarAplMed</v>
      </c>
    </row>
    <row r="55" spans="13:14" x14ac:dyDescent="0.25">
      <c r="M55" t="s">
        <v>133</v>
      </c>
      <c r="N55" t="str">
        <f t="shared" si="0"/>
        <v xml:space="preserve">        lSQLAplMed = "UPDATE AplicacaoMedicamento SET id, idAnimal, numBrinco, idSitio, desCategoria, desStatus, idSanidade, idMedicamento, desUnidade, dtData, numQtde, desObservacao = """ &amp; LinhaDescriçãoAplMed &amp; """ where id = " &amp; LinhaCódigoAplMed</v>
      </c>
    </row>
    <row r="56" spans="13:14" x14ac:dyDescent="0.25">
      <c r="M56" t="s">
        <v>109</v>
      </c>
      <c r="N56" t="str">
        <f t="shared" si="0"/>
        <v xml:space="preserve">        </v>
      </c>
    </row>
    <row r="57" spans="13:14" x14ac:dyDescent="0.25">
      <c r="M57" t="s">
        <v>110</v>
      </c>
      <c r="N57" t="str">
        <f t="shared" si="0"/>
        <v xml:space="preserve">        gConexaoAplMed.Execute lSQLAplMed</v>
      </c>
    </row>
    <row r="58" spans="13:14" x14ac:dyDescent="0.25">
      <c r="M58" t="s">
        <v>111</v>
      </c>
      <c r="N58" t="str">
        <f t="shared" si="0"/>
        <v xml:space="preserve">        lsDesconectarAplMed</v>
      </c>
    </row>
    <row r="59" spans="13:14" x14ac:dyDescent="0.25">
      <c r="M59" t="s">
        <v>83</v>
      </c>
      <c r="N59" t="str">
        <f t="shared" si="0"/>
        <v xml:space="preserve">    End If</v>
      </c>
    </row>
    <row r="60" spans="13:14" x14ac:dyDescent="0.25">
      <c r="M60" t="s">
        <v>78</v>
      </c>
      <c r="N60" t="str">
        <f t="shared" si="0"/>
        <v>End Sub</v>
      </c>
    </row>
    <row r="61" spans="13:14" x14ac:dyDescent="0.25">
      <c r="M61" t="s">
        <v>112</v>
      </c>
      <c r="N61" t="str">
        <f t="shared" si="0"/>
        <v>Public Sub lsExcluirAplMed(ByVal LinhaCódigoAplMed As Long)</v>
      </c>
    </row>
    <row r="62" spans="13:14" x14ac:dyDescent="0.25">
      <c r="M62" t="s">
        <v>113</v>
      </c>
      <c r="N62" t="str">
        <f t="shared" si="0"/>
        <v xml:space="preserve">    Dim lSQLAplMed</v>
      </c>
    </row>
    <row r="63" spans="13:14" x14ac:dyDescent="0.25">
      <c r="M63" t="s">
        <v>75</v>
      </c>
      <c r="N63" t="str">
        <f t="shared" si="0"/>
        <v xml:space="preserve">    </v>
      </c>
    </row>
    <row r="64" spans="13:14" x14ac:dyDescent="0.25">
      <c r="M64" t="s">
        <v>107</v>
      </c>
      <c r="N64" t="str">
        <f t="shared" si="0"/>
        <v xml:space="preserve">    If LinhaCódigoAplMed &gt; 0 Then</v>
      </c>
    </row>
    <row r="65" spans="13:14" x14ac:dyDescent="0.25">
      <c r="M65" t="s">
        <v>108</v>
      </c>
      <c r="N65" t="str">
        <f t="shared" si="0"/>
        <v xml:space="preserve">        lsConectarAplMed</v>
      </c>
    </row>
    <row r="66" spans="13:14" x14ac:dyDescent="0.25">
      <c r="M66" t="s">
        <v>109</v>
      </c>
      <c r="N66" t="str">
        <f t="shared" ref="N66:N93" si="4">SUBSTITUTE(SUBSTITUTE(SUBSTITUTE(SUBSTITUTE(SUBSTITUTE(SUBSTITUTE(SUBSTITUTE(SUBSTITUTE(SUBSTITUTE(SUBSTITUTE(SUBSTITUTE(SUBSTITUTE(SUBSTITUTE(SUBSTITUTE(SUBSTITUTE(SUBSTITUTE(SUBSTITUTE(SUBSTITUTE(SUBSTITUTE(SUBSTITUTE(SUBSTITUTE(SUBSTITUTE(SUBSTITUTE(SUBSTITUTE(SUBSTITUTE(M66,$F$2,$G$2),$F$3,$G$3),$F$4,$G$4),$F$5,$G$5),$F$6,$G$6),$F$7,$G$7),$F$8,$G$8),$E$9,$G$9),$F$10,$G$10),$F$11,$G$11),$F$12,$G$12),$F$13,$G$13),$F$14,$G$14),$F$15,$G$15),$F$16,$G$16),$F$17,$G$17),$F$18,$G$18),$F$19,$G$19),$F$20,$G$20),$F$21,$G$21),$F$22,$G$22),$F$23,$G$23),$F$24,$G$24),$F$25,$G$25),$F$26,$G$26)</f>
        <v xml:space="preserve">        </v>
      </c>
    </row>
    <row r="67" spans="13:14" x14ac:dyDescent="0.25">
      <c r="M67" t="s">
        <v>132</v>
      </c>
      <c r="N67" t="str">
        <f t="shared" si="4"/>
        <v xml:space="preserve">        lSQLAplMed = "DELETE FROM AplicacaoMedicamento WHERE id = " &amp; LinhaCódigoAplMed</v>
      </c>
    </row>
    <row r="68" spans="13:14" x14ac:dyDescent="0.25">
      <c r="M68" t="s">
        <v>110</v>
      </c>
      <c r="N68" t="str">
        <f t="shared" si="4"/>
        <v xml:space="preserve">        gConexaoAplMed.Execute lSQLAplMed</v>
      </c>
    </row>
    <row r="69" spans="13:14" x14ac:dyDescent="0.25">
      <c r="M69" t="s">
        <v>109</v>
      </c>
      <c r="N69" t="str">
        <f t="shared" si="4"/>
        <v xml:space="preserve">        </v>
      </c>
    </row>
    <row r="70" spans="13:14" x14ac:dyDescent="0.25">
      <c r="M70" t="s">
        <v>111</v>
      </c>
      <c r="N70" t="str">
        <f t="shared" si="4"/>
        <v xml:space="preserve">        lsDesconectarAplMed</v>
      </c>
    </row>
    <row r="71" spans="13:14" x14ac:dyDescent="0.25">
      <c r="M71" t="s">
        <v>83</v>
      </c>
      <c r="N71" t="str">
        <f t="shared" si="4"/>
        <v xml:space="preserve">    End If</v>
      </c>
    </row>
    <row r="72" spans="13:14" x14ac:dyDescent="0.25">
      <c r="M72" t="s">
        <v>78</v>
      </c>
      <c r="N72" t="str">
        <f t="shared" si="4"/>
        <v>End Sub</v>
      </c>
    </row>
    <row r="73" spans="13:14" x14ac:dyDescent="0.25">
      <c r="N73" t="str">
        <f t="shared" si="4"/>
        <v/>
      </c>
    </row>
    <row r="74" spans="13:14" x14ac:dyDescent="0.25">
      <c r="M74" t="s">
        <v>114</v>
      </c>
      <c r="N74" t="str">
        <f t="shared" si="4"/>
        <v>Public Sub lsListarDadosAplMed()</v>
      </c>
    </row>
    <row r="75" spans="13:14" x14ac:dyDescent="0.25">
      <c r="M75" t="s">
        <v>115</v>
      </c>
      <c r="N75" t="str">
        <f t="shared" si="4"/>
        <v xml:space="preserve">    Dim lrsAplMed As ADODB.Recordset</v>
      </c>
    </row>
    <row r="76" spans="13:14" x14ac:dyDescent="0.25">
      <c r="M76" t="s">
        <v>116</v>
      </c>
      <c r="N76" t="str">
        <f t="shared" si="4"/>
        <v xml:space="preserve">    Set lrsAplMed = New ADODB.Recordset</v>
      </c>
    </row>
    <row r="77" spans="13:14" x14ac:dyDescent="0.25">
      <c r="N77" t="str">
        <f t="shared" si="4"/>
        <v/>
      </c>
    </row>
    <row r="78" spans="13:14" x14ac:dyDescent="0.25">
      <c r="M78" t="s">
        <v>102</v>
      </c>
      <c r="N78" t="str">
        <f t="shared" si="4"/>
        <v xml:space="preserve">    lsConectarAplMed</v>
      </c>
    </row>
    <row r="79" spans="13:14" x14ac:dyDescent="0.25">
      <c r="M79" t="s">
        <v>131</v>
      </c>
      <c r="N79" t="str">
        <f t="shared" si="4"/>
        <v xml:space="preserve">    lrsAplMed.Open "Select * from AplicacaoMedicamento ", gConexaoAplMed</v>
      </c>
    </row>
    <row r="80" spans="13:14" x14ac:dyDescent="0.25">
      <c r="M80" t="s">
        <v>75</v>
      </c>
      <c r="N80" t="str">
        <f t="shared" si="4"/>
        <v xml:space="preserve">    </v>
      </c>
    </row>
    <row r="81" spans="13:14" x14ac:dyDescent="0.25">
      <c r="M81" t="s">
        <v>117</v>
      </c>
      <c r="N81" t="str">
        <f t="shared" si="4"/>
        <v xml:space="preserve">    Sheets("Aplicação Medicamentos").ListObjects("Tabela156").Resize Range("$A$2:$C$3")</v>
      </c>
    </row>
    <row r="82" spans="13:14" x14ac:dyDescent="0.25">
      <c r="M82" t="s">
        <v>75</v>
      </c>
      <c r="N82" t="str">
        <f t="shared" si="4"/>
        <v xml:space="preserve">    </v>
      </c>
    </row>
    <row r="83" spans="13:14" x14ac:dyDescent="0.25">
      <c r="M83" t="s">
        <v>118</v>
      </c>
      <c r="N83" t="str">
        <f t="shared" si="4"/>
        <v xml:space="preserve">    Sheets("Aplicação Medicamentos").Range("a3:h1048576").ClearContents</v>
      </c>
    </row>
    <row r="84" spans="13:14" x14ac:dyDescent="0.25">
      <c r="N84" t="str">
        <f t="shared" si="4"/>
        <v/>
      </c>
    </row>
    <row r="85" spans="13:14" x14ac:dyDescent="0.25">
      <c r="M85" t="s">
        <v>119</v>
      </c>
      <c r="N85" t="str">
        <f t="shared" si="4"/>
        <v xml:space="preserve">    Sheets("Aplicação Medicamentos").Cells(3, 1).CopyFromRecordset lrsAplMed</v>
      </c>
    </row>
    <row r="86" spans="13:14" x14ac:dyDescent="0.25">
      <c r="N86" t="str">
        <f t="shared" si="4"/>
        <v/>
      </c>
    </row>
    <row r="87" spans="13:14" x14ac:dyDescent="0.25">
      <c r="M87" t="s">
        <v>75</v>
      </c>
      <c r="N87" t="str">
        <f t="shared" si="4"/>
        <v xml:space="preserve">    </v>
      </c>
    </row>
    <row r="88" spans="13:14" x14ac:dyDescent="0.25">
      <c r="M88" t="s">
        <v>120</v>
      </c>
      <c r="N88" t="str">
        <f t="shared" si="4"/>
        <v xml:space="preserve">    If Not lrsAplMed Is Nothing Then</v>
      </c>
    </row>
    <row r="89" spans="13:14" x14ac:dyDescent="0.25">
      <c r="M89" t="s">
        <v>121</v>
      </c>
      <c r="N89" t="str">
        <f t="shared" si="4"/>
        <v xml:space="preserve">        lrsAplMed.Close</v>
      </c>
    </row>
    <row r="90" spans="13:14" x14ac:dyDescent="0.25">
      <c r="M90" t="s">
        <v>122</v>
      </c>
      <c r="N90" t="str">
        <f t="shared" si="4"/>
        <v xml:space="preserve">        Set lrsAplMed = Nothing</v>
      </c>
    </row>
    <row r="91" spans="13:14" x14ac:dyDescent="0.25">
      <c r="M91" t="s">
        <v>83</v>
      </c>
      <c r="N91" t="str">
        <f t="shared" si="4"/>
        <v xml:space="preserve">    End If</v>
      </c>
    </row>
    <row r="92" spans="13:14" x14ac:dyDescent="0.25">
      <c r="M92" t="s">
        <v>105</v>
      </c>
      <c r="N92" t="str">
        <f t="shared" si="4"/>
        <v xml:space="preserve">    lsDesconectarAplMed</v>
      </c>
    </row>
    <row r="93" spans="13:14" x14ac:dyDescent="0.25">
      <c r="M93" t="s">
        <v>78</v>
      </c>
      <c r="N93" t="str">
        <f t="shared" si="4"/>
        <v>End Sub</v>
      </c>
    </row>
    <row r="100" spans="13:14" x14ac:dyDescent="0.25">
      <c r="M100" t="s">
        <v>139</v>
      </c>
      <c r="N100" t="str">
        <f>SUBSTITUTE(M100,"Pastos",$E$1)</f>
        <v>If ActiveSheet.Name = "Aplicação Medicamentos" Then</v>
      </c>
    </row>
    <row r="102" spans="13:14" x14ac:dyDescent="0.25">
      <c r="M102" t="s">
        <v>140</v>
      </c>
      <c r="N102" t="str">
        <f>G17</f>
        <v>lsAtualizarTabAplMed</v>
      </c>
    </row>
    <row r="104" spans="13:14" x14ac:dyDescent="0.25">
      <c r="M104" t="s">
        <v>141</v>
      </c>
      <c r="N104" t="str">
        <f>M104</f>
        <v>End If</v>
      </c>
    </row>
    <row r="110" spans="13:14" x14ac:dyDescent="0.25">
      <c r="M110" s="47" t="s">
        <v>484</v>
      </c>
    </row>
    <row r="111" spans="13:14" x14ac:dyDescent="0.25">
      <c r="M111" s="1" t="s">
        <v>485</v>
      </c>
    </row>
    <row r="112" spans="13:14" x14ac:dyDescent="0.25">
      <c r="M112" s="47" t="s">
        <v>486</v>
      </c>
    </row>
    <row r="113" spans="13:13" x14ac:dyDescent="0.25">
      <c r="M113" s="1" t="s">
        <v>487</v>
      </c>
    </row>
    <row r="114" spans="13:13" x14ac:dyDescent="0.25">
      <c r="M114" s="47" t="s">
        <v>488</v>
      </c>
    </row>
    <row r="115" spans="13:13" x14ac:dyDescent="0.25">
      <c r="M115" s="48" t="s">
        <v>489</v>
      </c>
    </row>
  </sheetData>
  <autoFilter ref="A1:D26" xr:uid="{00000000-0001-0000-0200-000000000000}">
    <sortState xmlns:xlrd2="http://schemas.microsoft.com/office/spreadsheetml/2017/richdata2" ref="A2:D26">
      <sortCondition ref="C1:C26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33003-EE86-44D8-8380-5ADFFE0C612A}">
  <sheetPr codeName="Planilha29"/>
  <dimension ref="A1:D23"/>
  <sheetViews>
    <sheetView workbookViewId="0">
      <selection activeCell="N24" sqref="C24:N24"/>
    </sheetView>
  </sheetViews>
  <sheetFormatPr defaultRowHeight="15" x14ac:dyDescent="0.25"/>
  <cols>
    <col min="1" max="1" width="7.42578125" bestFit="1" customWidth="1"/>
    <col min="2" max="2" width="26.85546875" bestFit="1" customWidth="1"/>
    <col min="3" max="3" width="18.42578125" bestFit="1" customWidth="1"/>
    <col min="4" max="4" width="13.140625" bestFit="1" customWidth="1"/>
  </cols>
  <sheetData>
    <row r="1" spans="1:4" ht="26.25" x14ac:dyDescent="0.25">
      <c r="A1" s="54" t="s">
        <v>518</v>
      </c>
      <c r="B1" s="55"/>
      <c r="C1" s="55"/>
      <c r="D1" s="55"/>
    </row>
    <row r="2" spans="1:4" x14ac:dyDescent="0.25">
      <c r="A2" s="1" t="s">
        <v>1</v>
      </c>
      <c r="B2" s="1" t="s">
        <v>45</v>
      </c>
      <c r="C2" s="1" t="s">
        <v>513</v>
      </c>
      <c r="D2" s="1" t="s">
        <v>398</v>
      </c>
    </row>
    <row r="3" spans="1:4" x14ac:dyDescent="0.25">
      <c r="A3" s="1">
        <v>1</v>
      </c>
      <c r="B3" s="1" t="s">
        <v>147</v>
      </c>
      <c r="C3" s="1" t="s">
        <v>474</v>
      </c>
      <c r="D3" s="1" t="s">
        <v>512</v>
      </c>
    </row>
    <row r="4" spans="1:4" x14ac:dyDescent="0.25">
      <c r="A4" s="1">
        <v>2</v>
      </c>
      <c r="B4" s="1" t="s">
        <v>148</v>
      </c>
      <c r="C4" s="1" t="s">
        <v>474</v>
      </c>
      <c r="D4" s="1" t="s">
        <v>512</v>
      </c>
    </row>
    <row r="5" spans="1:4" x14ac:dyDescent="0.25">
      <c r="A5" s="1">
        <v>3</v>
      </c>
      <c r="B5" s="1" t="s">
        <v>149</v>
      </c>
      <c r="C5" s="1" t="s">
        <v>474</v>
      </c>
      <c r="D5" s="1" t="s">
        <v>512</v>
      </c>
    </row>
    <row r="6" spans="1:4" x14ac:dyDescent="0.25">
      <c r="A6" s="1">
        <v>4</v>
      </c>
      <c r="B6" s="1" t="s">
        <v>150</v>
      </c>
      <c r="C6" s="1" t="s">
        <v>474</v>
      </c>
      <c r="D6" s="1" t="s">
        <v>512</v>
      </c>
    </row>
    <row r="7" spans="1:4" x14ac:dyDescent="0.25">
      <c r="A7" s="1">
        <v>5</v>
      </c>
      <c r="B7" s="1" t="s">
        <v>151</v>
      </c>
      <c r="C7" s="1" t="s">
        <v>474</v>
      </c>
      <c r="D7" s="1" t="s">
        <v>512</v>
      </c>
    </row>
    <row r="8" spans="1:4" x14ac:dyDescent="0.25">
      <c r="A8" s="1">
        <v>6</v>
      </c>
      <c r="B8" s="1" t="s">
        <v>152</v>
      </c>
      <c r="C8" s="1" t="s">
        <v>474</v>
      </c>
      <c r="D8" s="1" t="s">
        <v>512</v>
      </c>
    </row>
    <row r="9" spans="1:4" x14ac:dyDescent="0.25">
      <c r="A9" s="1">
        <v>7</v>
      </c>
      <c r="B9" s="1" t="s">
        <v>479</v>
      </c>
      <c r="C9" s="1" t="s">
        <v>495</v>
      </c>
      <c r="D9" s="1" t="s">
        <v>500</v>
      </c>
    </row>
    <row r="10" spans="1:4" x14ac:dyDescent="0.25">
      <c r="A10" s="1">
        <v>8</v>
      </c>
      <c r="B10" s="1" t="s">
        <v>480</v>
      </c>
      <c r="C10" s="1" t="s">
        <v>495</v>
      </c>
      <c r="D10" s="1" t="s">
        <v>500</v>
      </c>
    </row>
    <row r="11" spans="1:4" x14ac:dyDescent="0.25">
      <c r="A11" s="1">
        <v>9</v>
      </c>
      <c r="B11" s="1" t="s">
        <v>481</v>
      </c>
      <c r="C11" s="1" t="s">
        <v>495</v>
      </c>
      <c r="D11" s="1" t="s">
        <v>500</v>
      </c>
    </row>
    <row r="12" spans="1:4" x14ac:dyDescent="0.25">
      <c r="A12" s="1">
        <v>10</v>
      </c>
      <c r="B12" s="1" t="s">
        <v>482</v>
      </c>
      <c r="C12" s="1" t="s">
        <v>495</v>
      </c>
      <c r="D12" s="1" t="s">
        <v>500</v>
      </c>
    </row>
    <row r="13" spans="1:4" x14ac:dyDescent="0.25">
      <c r="A13" s="1">
        <v>11</v>
      </c>
      <c r="B13" s="1" t="s">
        <v>483</v>
      </c>
      <c r="C13" s="1" t="s">
        <v>495</v>
      </c>
      <c r="D13" s="1" t="s">
        <v>501</v>
      </c>
    </row>
    <row r="14" spans="1:4" x14ac:dyDescent="0.25">
      <c r="A14" s="1">
        <v>12</v>
      </c>
      <c r="B14" s="1" t="s">
        <v>484</v>
      </c>
      <c r="C14" s="1" t="s">
        <v>496</v>
      </c>
      <c r="D14" s="1" t="s">
        <v>501</v>
      </c>
    </row>
    <row r="15" spans="1:4" x14ac:dyDescent="0.25">
      <c r="A15" s="1">
        <v>13</v>
      </c>
      <c r="B15" s="1" t="s">
        <v>485</v>
      </c>
      <c r="C15" s="1" t="s">
        <v>496</v>
      </c>
      <c r="D15" s="1" t="s">
        <v>501</v>
      </c>
    </row>
    <row r="16" spans="1:4" x14ac:dyDescent="0.25">
      <c r="A16" s="1">
        <v>14</v>
      </c>
      <c r="B16" s="1" t="s">
        <v>486</v>
      </c>
      <c r="C16" s="1" t="s">
        <v>496</v>
      </c>
      <c r="D16" s="1" t="s">
        <v>501</v>
      </c>
    </row>
    <row r="17" spans="1:4" x14ac:dyDescent="0.25">
      <c r="A17" s="1">
        <v>15</v>
      </c>
      <c r="B17" s="1" t="s">
        <v>487</v>
      </c>
      <c r="C17" s="1" t="s">
        <v>496</v>
      </c>
      <c r="D17" s="1" t="s">
        <v>501</v>
      </c>
    </row>
    <row r="18" spans="1:4" x14ac:dyDescent="0.25">
      <c r="A18" s="1">
        <v>16</v>
      </c>
      <c r="B18" s="1" t="s">
        <v>488</v>
      </c>
      <c r="C18" s="1" t="s">
        <v>496</v>
      </c>
      <c r="D18" s="1" t="s">
        <v>501</v>
      </c>
    </row>
    <row r="19" spans="1:4" x14ac:dyDescent="0.25">
      <c r="A19" s="1">
        <v>17</v>
      </c>
      <c r="B19" s="1" t="s">
        <v>489</v>
      </c>
      <c r="C19" s="1" t="s">
        <v>496</v>
      </c>
      <c r="D19" s="1" t="s">
        <v>501</v>
      </c>
    </row>
    <row r="20" spans="1:4" x14ac:dyDescent="0.25">
      <c r="A20" s="1">
        <v>18</v>
      </c>
      <c r="B20" s="1" t="s">
        <v>491</v>
      </c>
      <c r="C20" s="1" t="s">
        <v>497</v>
      </c>
      <c r="D20" s="1" t="s">
        <v>502</v>
      </c>
    </row>
    <row r="21" spans="1:4" x14ac:dyDescent="0.25">
      <c r="A21" s="1">
        <v>19</v>
      </c>
      <c r="B21" s="1" t="s">
        <v>492</v>
      </c>
      <c r="C21" s="1" t="s">
        <v>497</v>
      </c>
      <c r="D21" s="1" t="s">
        <v>502</v>
      </c>
    </row>
    <row r="22" spans="1:4" x14ac:dyDescent="0.25">
      <c r="A22" s="1">
        <v>20</v>
      </c>
      <c r="B22" s="1" t="s">
        <v>493</v>
      </c>
      <c r="C22" s="1" t="s">
        <v>497</v>
      </c>
      <c r="D22" s="1" t="s">
        <v>502</v>
      </c>
    </row>
    <row r="23" spans="1:4" x14ac:dyDescent="0.25">
      <c r="A23" s="1">
        <v>21</v>
      </c>
      <c r="B23" s="1" t="s">
        <v>494</v>
      </c>
      <c r="C23" s="1" t="s">
        <v>497</v>
      </c>
      <c r="D23" s="1" t="s">
        <v>502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A88277-2BB2-433A-B32D-F82A45E1A92D}">
          <x14:formula1>
            <xm:f>'Unidades de Medidas'!$B$3:$B$1048576</xm:f>
          </x14:formula1>
          <xm:sqref>D3:D23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2D938-079C-48AF-A9AA-5613BF767F32}">
  <sheetPr codeName="Planilha23"/>
  <dimension ref="A1:AX20"/>
  <sheetViews>
    <sheetView tabSelected="1" zoomScale="85" zoomScaleNormal="85" workbookViewId="0">
      <pane ySplit="2" topLeftCell="A3" activePane="bottomLeft" state="frozen"/>
      <selection activeCell="N24" sqref="C24:N24"/>
      <selection pane="bottomLeft" activeCell="N20" sqref="N20"/>
    </sheetView>
  </sheetViews>
  <sheetFormatPr defaultColWidth="10.85546875" defaultRowHeight="15" x14ac:dyDescent="0.25"/>
  <cols>
    <col min="1" max="1" width="8.42578125" style="1" bestFit="1" customWidth="1"/>
    <col min="2" max="2" width="18.42578125" style="1" bestFit="1" customWidth="1"/>
    <col min="3" max="3" width="16.7109375" style="1" bestFit="1" customWidth="1"/>
    <col min="4" max="4" width="21.140625" style="1" bestFit="1" customWidth="1"/>
    <col min="5" max="5" width="17.42578125" style="1" bestFit="1" customWidth="1"/>
    <col min="6" max="7" width="15.7109375" style="1" bestFit="1" customWidth="1"/>
    <col min="8" max="8" width="18.42578125" style="1" bestFit="1" customWidth="1"/>
    <col min="9" max="9" width="12.85546875" style="1" bestFit="1" customWidth="1"/>
    <col min="10" max="10" width="13.42578125" style="1" bestFit="1" customWidth="1"/>
    <col min="11" max="11" width="16.140625" style="1" bestFit="1" customWidth="1"/>
    <col min="12" max="12" width="18.140625" style="1" bestFit="1" customWidth="1"/>
    <col min="13" max="13" width="15.5703125" style="1" bestFit="1" customWidth="1"/>
    <col min="14" max="14" width="10.5703125" style="1" bestFit="1" customWidth="1"/>
    <col min="30" max="30" width="30.28515625" bestFit="1" customWidth="1"/>
    <col min="50" max="50" width="3.140625" bestFit="1" customWidth="1"/>
  </cols>
  <sheetData>
    <row r="1" spans="1:50" ht="26.25" x14ac:dyDescent="0.25">
      <c r="A1" s="56" t="s">
        <v>472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AD1" s="27" t="s">
        <v>359</v>
      </c>
    </row>
    <row r="2" spans="1:50" s="1" customFormat="1" x14ac:dyDescent="0.25">
      <c r="A2" s="8" t="s">
        <v>1</v>
      </c>
      <c r="B2" s="9" t="s">
        <v>516</v>
      </c>
      <c r="C2" s="9" t="s">
        <v>517</v>
      </c>
      <c r="D2" s="9" t="s">
        <v>515</v>
      </c>
      <c r="E2" s="9" t="s">
        <v>182</v>
      </c>
      <c r="F2" s="9" t="s">
        <v>470</v>
      </c>
      <c r="G2" s="9" t="s">
        <v>33</v>
      </c>
      <c r="H2" s="9" t="s">
        <v>473</v>
      </c>
      <c r="I2" s="9" t="s">
        <v>471</v>
      </c>
      <c r="J2" s="9" t="s">
        <v>398</v>
      </c>
      <c r="K2" s="25" t="s">
        <v>399</v>
      </c>
      <c r="L2" s="9" t="s">
        <v>514</v>
      </c>
      <c r="M2" s="9" t="s">
        <v>375</v>
      </c>
      <c r="N2" s="8" t="s">
        <v>2</v>
      </c>
      <c r="Q2" s="25"/>
      <c r="R2" s="25"/>
      <c r="S2" s="25"/>
      <c r="AR2"/>
    </row>
    <row r="3" spans="1:50" x14ac:dyDescent="0.25">
      <c r="A3" s="1">
        <v>5</v>
      </c>
      <c r="B3" s="1" t="s">
        <v>474</v>
      </c>
      <c r="C3" s="1">
        <v>2</v>
      </c>
      <c r="D3" s="13">
        <v>45366</v>
      </c>
      <c r="E3" s="13">
        <v>45337</v>
      </c>
      <c r="F3" s="1">
        <v>1465</v>
      </c>
      <c r="G3" s="1" t="s">
        <v>403</v>
      </c>
      <c r="H3" s="1" t="s">
        <v>474</v>
      </c>
      <c r="I3" s="1" t="s">
        <v>149</v>
      </c>
      <c r="J3" s="1" t="s">
        <v>512</v>
      </c>
      <c r="K3" s="52">
        <v>100</v>
      </c>
      <c r="L3" s="51">
        <v>6</v>
      </c>
      <c r="M3" s="53">
        <v>560</v>
      </c>
      <c r="AX3">
        <v>22</v>
      </c>
    </row>
    <row r="4" spans="1:50" x14ac:dyDescent="0.25">
      <c r="A4" s="1">
        <v>6</v>
      </c>
      <c r="B4" s="1" t="s">
        <v>474</v>
      </c>
      <c r="C4" s="1">
        <v>2</v>
      </c>
      <c r="D4" s="13">
        <v>45366</v>
      </c>
      <c r="E4" s="13">
        <v>45337</v>
      </c>
      <c r="F4" s="1">
        <v>1465</v>
      </c>
      <c r="G4" s="1" t="s">
        <v>403</v>
      </c>
      <c r="H4" s="1" t="s">
        <v>474</v>
      </c>
      <c r="I4" s="1" t="s">
        <v>149</v>
      </c>
      <c r="J4" s="1" t="s">
        <v>512</v>
      </c>
      <c r="K4" s="52">
        <v>100</v>
      </c>
      <c r="L4" s="51">
        <v>6</v>
      </c>
      <c r="M4" s="53">
        <v>560</v>
      </c>
    </row>
    <row r="5" spans="1:50" x14ac:dyDescent="0.25">
      <c r="A5" s="1">
        <v>7</v>
      </c>
      <c r="B5" s="1" t="s">
        <v>474</v>
      </c>
      <c r="C5" s="1">
        <v>2</v>
      </c>
      <c r="D5" s="13">
        <v>45366</v>
      </c>
      <c r="E5" s="13">
        <v>45337</v>
      </c>
      <c r="F5" s="1">
        <v>1465</v>
      </c>
      <c r="G5" s="1" t="s">
        <v>403</v>
      </c>
      <c r="H5" s="1" t="s">
        <v>474</v>
      </c>
      <c r="I5" s="1" t="s">
        <v>149</v>
      </c>
      <c r="J5" s="1" t="s">
        <v>512</v>
      </c>
      <c r="K5" s="52">
        <v>100.5</v>
      </c>
      <c r="L5" s="51">
        <v>5.5819999999999999</v>
      </c>
      <c r="M5" s="53">
        <v>560.99</v>
      </c>
    </row>
    <row r="6" spans="1:50" x14ac:dyDescent="0.25">
      <c r="A6" s="1">
        <v>8</v>
      </c>
      <c r="B6" s="1" t="s">
        <v>496</v>
      </c>
      <c r="C6" s="1">
        <v>1</v>
      </c>
      <c r="D6" s="13">
        <v>1</v>
      </c>
      <c r="E6" s="13">
        <v>1</v>
      </c>
      <c r="F6" s="1">
        <v>1</v>
      </c>
      <c r="G6" s="1" t="s">
        <v>403</v>
      </c>
      <c r="H6" s="1" t="s">
        <v>496</v>
      </c>
      <c r="I6" s="1" t="s">
        <v>481</v>
      </c>
      <c r="J6" s="1" t="s">
        <v>500</v>
      </c>
      <c r="K6" s="52">
        <v>9</v>
      </c>
      <c r="L6" s="51">
        <v>111</v>
      </c>
      <c r="M6" s="53">
        <v>999</v>
      </c>
    </row>
    <row r="7" spans="1:50" x14ac:dyDescent="0.25">
      <c r="A7" s="1">
        <v>9</v>
      </c>
      <c r="B7" s="1" t="s">
        <v>497</v>
      </c>
      <c r="C7" s="1">
        <v>55</v>
      </c>
      <c r="D7" s="13">
        <v>1</v>
      </c>
      <c r="E7" s="13">
        <v>1</v>
      </c>
      <c r="F7" s="1">
        <v>1</v>
      </c>
      <c r="G7" s="1" t="s">
        <v>403</v>
      </c>
      <c r="H7" s="1" t="s">
        <v>497</v>
      </c>
      <c r="I7" s="1" t="s">
        <v>491</v>
      </c>
      <c r="J7" s="1" t="s">
        <v>502</v>
      </c>
      <c r="K7" s="52">
        <v>1000</v>
      </c>
      <c r="L7" s="51">
        <v>6.59</v>
      </c>
      <c r="M7" s="53">
        <v>6590</v>
      </c>
    </row>
    <row r="8" spans="1:50" x14ac:dyDescent="0.25">
      <c r="A8" s="1">
        <v>10</v>
      </c>
      <c r="B8" s="1" t="s">
        <v>497</v>
      </c>
      <c r="C8" s="1">
        <v>1</v>
      </c>
      <c r="D8" s="13">
        <v>1</v>
      </c>
      <c r="E8" s="13">
        <v>1</v>
      </c>
      <c r="F8" s="1">
        <v>1</v>
      </c>
      <c r="G8" s="1" t="s">
        <v>403</v>
      </c>
      <c r="H8" s="1" t="s">
        <v>497</v>
      </c>
      <c r="I8" s="1" t="s">
        <v>492</v>
      </c>
      <c r="J8" s="1" t="s">
        <v>502</v>
      </c>
      <c r="K8" s="52">
        <v>1000</v>
      </c>
      <c r="L8" s="51">
        <v>7</v>
      </c>
      <c r="M8" s="53">
        <v>7000</v>
      </c>
    </row>
    <row r="9" spans="1:50" x14ac:dyDescent="0.25">
      <c r="A9" s="1">
        <v>11</v>
      </c>
      <c r="B9" s="1" t="s">
        <v>497</v>
      </c>
      <c r="C9" s="1">
        <v>88</v>
      </c>
      <c r="D9" s="13">
        <v>0</v>
      </c>
      <c r="E9" s="13">
        <v>0</v>
      </c>
      <c r="F9" s="1">
        <v>1</v>
      </c>
      <c r="G9" s="1" t="s">
        <v>403</v>
      </c>
      <c r="H9" s="1" t="s">
        <v>497</v>
      </c>
      <c r="I9" s="1" t="s">
        <v>493</v>
      </c>
      <c r="J9" s="1" t="s">
        <v>502</v>
      </c>
      <c r="K9" s="52">
        <v>1000</v>
      </c>
      <c r="L9" s="51">
        <v>4.5</v>
      </c>
      <c r="M9" s="53">
        <v>4500</v>
      </c>
    </row>
    <row r="10" spans="1:50" x14ac:dyDescent="0.25">
      <c r="A10" s="1">
        <v>12</v>
      </c>
      <c r="B10" s="1" t="s">
        <v>497</v>
      </c>
      <c r="C10" s="1">
        <v>88</v>
      </c>
      <c r="D10" s="13">
        <v>0</v>
      </c>
      <c r="E10" s="13">
        <v>0</v>
      </c>
      <c r="F10" s="1">
        <v>1</v>
      </c>
      <c r="G10" s="1" t="s">
        <v>403</v>
      </c>
      <c r="H10" s="1" t="s">
        <v>497</v>
      </c>
      <c r="I10" s="1" t="s">
        <v>493</v>
      </c>
      <c r="J10" s="1" t="s">
        <v>502</v>
      </c>
      <c r="K10" s="52">
        <v>1000</v>
      </c>
      <c r="L10" s="51">
        <v>4.5</v>
      </c>
      <c r="M10" s="53">
        <v>4500</v>
      </c>
    </row>
    <row r="11" spans="1:50" x14ac:dyDescent="0.25">
      <c r="A11" s="1">
        <v>14</v>
      </c>
      <c r="B11" s="1" t="s">
        <v>497</v>
      </c>
      <c r="C11" s="1">
        <v>1</v>
      </c>
      <c r="D11" s="13">
        <v>0</v>
      </c>
      <c r="E11" s="13">
        <v>0</v>
      </c>
      <c r="F11" s="1">
        <v>1</v>
      </c>
      <c r="G11" s="1" t="s">
        <v>403</v>
      </c>
      <c r="H11" s="1" t="s">
        <v>497</v>
      </c>
      <c r="I11" s="1" t="s">
        <v>493</v>
      </c>
      <c r="J11" s="1" t="s">
        <v>502</v>
      </c>
      <c r="K11" s="52">
        <v>1000</v>
      </c>
      <c r="L11" s="51">
        <v>4.5</v>
      </c>
      <c r="M11" s="53">
        <v>4500</v>
      </c>
    </row>
    <row r="12" spans="1:50" x14ac:dyDescent="0.25">
      <c r="A12" s="1">
        <v>15</v>
      </c>
      <c r="B12" s="1" t="s">
        <v>497</v>
      </c>
      <c r="C12" s="1">
        <v>5</v>
      </c>
      <c r="D12" s="13">
        <v>0</v>
      </c>
      <c r="E12" s="13">
        <v>0</v>
      </c>
      <c r="F12" s="1">
        <v>1</v>
      </c>
      <c r="G12" s="1" t="s">
        <v>403</v>
      </c>
      <c r="H12" s="1" t="s">
        <v>497</v>
      </c>
      <c r="I12" s="1" t="s">
        <v>493</v>
      </c>
      <c r="J12" s="1" t="s">
        <v>502</v>
      </c>
      <c r="K12" s="52">
        <v>1000</v>
      </c>
      <c r="L12" s="51">
        <v>4.5</v>
      </c>
      <c r="M12" s="53">
        <v>4500</v>
      </c>
    </row>
    <row r="13" spans="1:50" x14ac:dyDescent="0.25">
      <c r="A13" s="1">
        <v>16</v>
      </c>
      <c r="B13" s="1" t="s">
        <v>497</v>
      </c>
      <c r="C13" s="1">
        <v>5</v>
      </c>
      <c r="D13" s="13">
        <v>0</v>
      </c>
      <c r="E13" s="13">
        <v>0</v>
      </c>
      <c r="F13" s="1">
        <v>1</v>
      </c>
      <c r="G13" s="1" t="s">
        <v>403</v>
      </c>
      <c r="H13" s="1" t="s">
        <v>497</v>
      </c>
      <c r="I13" s="1" t="s">
        <v>493</v>
      </c>
      <c r="J13" s="1" t="s">
        <v>502</v>
      </c>
      <c r="K13" s="52">
        <v>1000</v>
      </c>
      <c r="L13" s="51">
        <v>4.5</v>
      </c>
      <c r="M13" s="53">
        <v>4500</v>
      </c>
    </row>
    <row r="14" spans="1:50" x14ac:dyDescent="0.25">
      <c r="A14" s="1">
        <v>17</v>
      </c>
      <c r="B14" s="1" t="s">
        <v>155</v>
      </c>
      <c r="C14" s="1">
        <v>16</v>
      </c>
      <c r="D14" s="13">
        <v>0</v>
      </c>
      <c r="E14" s="13">
        <v>0</v>
      </c>
      <c r="F14" s="1">
        <v>1</v>
      </c>
      <c r="G14" s="1" t="s">
        <v>403</v>
      </c>
      <c r="H14" s="1" t="s">
        <v>497</v>
      </c>
      <c r="I14" s="1" t="s">
        <v>493</v>
      </c>
      <c r="J14" s="1" t="s">
        <v>502</v>
      </c>
      <c r="K14" s="52">
        <v>1000</v>
      </c>
      <c r="L14" s="51">
        <v>4.5</v>
      </c>
      <c r="M14" s="53">
        <v>4500</v>
      </c>
    </row>
    <row r="15" spans="1:50" x14ac:dyDescent="0.25">
      <c r="A15" s="1">
        <v>18</v>
      </c>
      <c r="B15" s="1" t="s">
        <v>495</v>
      </c>
      <c r="C15" s="1">
        <v>3</v>
      </c>
      <c r="D15" s="13">
        <v>0</v>
      </c>
      <c r="E15" s="13">
        <v>0</v>
      </c>
      <c r="F15" s="1">
        <v>5</v>
      </c>
      <c r="G15" s="1" t="s">
        <v>403</v>
      </c>
      <c r="H15" s="1" t="s">
        <v>497</v>
      </c>
      <c r="I15" s="1" t="s">
        <v>493</v>
      </c>
      <c r="J15" s="1" t="s">
        <v>502</v>
      </c>
      <c r="K15" s="52">
        <v>1000</v>
      </c>
      <c r="L15" s="51">
        <v>60</v>
      </c>
      <c r="M15" s="53">
        <v>60000</v>
      </c>
    </row>
    <row r="16" spans="1:50" x14ac:dyDescent="0.25">
      <c r="A16" s="1">
        <v>19</v>
      </c>
      <c r="B16" s="1" t="s">
        <v>495</v>
      </c>
      <c r="C16" s="1">
        <v>3</v>
      </c>
      <c r="D16" s="13">
        <v>0</v>
      </c>
      <c r="E16" s="13">
        <v>0</v>
      </c>
      <c r="F16" s="1">
        <v>5</v>
      </c>
      <c r="G16" s="1" t="s">
        <v>403</v>
      </c>
      <c r="H16" s="1" t="s">
        <v>497</v>
      </c>
      <c r="I16" s="1" t="s">
        <v>493</v>
      </c>
      <c r="J16" s="1" t="s">
        <v>502</v>
      </c>
      <c r="K16" s="52">
        <v>1000</v>
      </c>
      <c r="L16" s="51">
        <v>60</v>
      </c>
      <c r="M16" s="53">
        <v>60000</v>
      </c>
    </row>
    <row r="17" spans="1:13" x14ac:dyDescent="0.25">
      <c r="A17" s="1">
        <v>20</v>
      </c>
      <c r="B17" s="1" t="s">
        <v>495</v>
      </c>
      <c r="C17" s="1">
        <v>3</v>
      </c>
      <c r="D17" s="13">
        <v>0</v>
      </c>
      <c r="E17" s="13">
        <v>0</v>
      </c>
      <c r="F17" s="1">
        <v>5</v>
      </c>
      <c r="G17" s="1" t="s">
        <v>403</v>
      </c>
      <c r="H17" s="1" t="s">
        <v>497</v>
      </c>
      <c r="I17" s="1" t="s">
        <v>493</v>
      </c>
      <c r="J17" s="1" t="s">
        <v>502</v>
      </c>
      <c r="K17" s="52">
        <v>1000</v>
      </c>
      <c r="L17" s="51">
        <v>60</v>
      </c>
      <c r="M17" s="53">
        <v>60000</v>
      </c>
    </row>
    <row r="18" spans="1:13" x14ac:dyDescent="0.25">
      <c r="A18" s="1">
        <v>21</v>
      </c>
      <c r="B18" s="1" t="s">
        <v>495</v>
      </c>
      <c r="C18" s="1">
        <v>3</v>
      </c>
      <c r="D18" s="13">
        <v>0</v>
      </c>
      <c r="E18" s="13">
        <v>0</v>
      </c>
      <c r="F18" s="1">
        <v>5</v>
      </c>
      <c r="G18" s="1" t="s">
        <v>403</v>
      </c>
      <c r="H18" s="1" t="s">
        <v>497</v>
      </c>
      <c r="I18" s="1" t="s">
        <v>493</v>
      </c>
      <c r="J18" s="1" t="s">
        <v>502</v>
      </c>
      <c r="K18" s="52">
        <v>1000</v>
      </c>
      <c r="L18" s="51">
        <v>60</v>
      </c>
      <c r="M18" s="53">
        <v>60000</v>
      </c>
    </row>
    <row r="19" spans="1:13" x14ac:dyDescent="0.25">
      <c r="A19" s="1">
        <v>22</v>
      </c>
      <c r="B19" s="1" t="s">
        <v>495</v>
      </c>
      <c r="C19" s="1">
        <v>3</v>
      </c>
      <c r="D19" s="13">
        <v>0</v>
      </c>
      <c r="E19" s="13">
        <v>0</v>
      </c>
      <c r="F19" s="1">
        <v>5</v>
      </c>
      <c r="G19" s="1" t="s">
        <v>403</v>
      </c>
      <c r="H19" s="1" t="s">
        <v>497</v>
      </c>
      <c r="I19" s="1" t="s">
        <v>493</v>
      </c>
      <c r="J19" s="1" t="s">
        <v>502</v>
      </c>
      <c r="K19" s="52">
        <v>1000</v>
      </c>
      <c r="L19" s="51">
        <v>60</v>
      </c>
      <c r="M19" s="53">
        <v>60000</v>
      </c>
    </row>
    <row r="20" spans="1:13" x14ac:dyDescent="0.25">
      <c r="A20" s="1">
        <v>23</v>
      </c>
      <c r="B20" s="1" t="s">
        <v>495</v>
      </c>
      <c r="C20" s="1">
        <v>3</v>
      </c>
      <c r="D20" s="13">
        <v>0</v>
      </c>
      <c r="E20" s="13">
        <v>0</v>
      </c>
      <c r="F20" s="1">
        <v>5</v>
      </c>
      <c r="G20" s="1" t="s">
        <v>403</v>
      </c>
      <c r="H20" s="1" t="s">
        <v>497</v>
      </c>
      <c r="I20" s="1" t="s">
        <v>493</v>
      </c>
      <c r="J20" s="1" t="s">
        <v>502</v>
      </c>
      <c r="K20" s="52">
        <v>1000</v>
      </c>
      <c r="L20" s="51">
        <v>60</v>
      </c>
      <c r="M20" s="53">
        <v>60000</v>
      </c>
    </row>
  </sheetData>
  <mergeCells count="1">
    <mergeCell ref="A1:N1"/>
  </mergeCells>
  <dataValidations count="2">
    <dataValidation type="list" allowBlank="1" showInputMessage="1" showErrorMessage="1" sqref="N3:N20" xr:uid="{17882B70-3E1A-491E-9028-92012124E5F3}">
      <formula1>"Inserir,Alterar,Excluir"</formula1>
    </dataValidation>
    <dataValidation type="date" operator="notEqual" allowBlank="1" showInputMessage="1" showErrorMessage="1" error="Deve por data nesse campo" sqref="E3:E20" xr:uid="{E90A33C4-3E13-4201-BA8F-A0CD5F716313}">
      <formula1>32874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187B0C-B43C-4D10-ABE8-02C74C6A3922}">
          <x14:formula1>
            <xm:f>Medicamentos!$B$3:$B$1048576</xm:f>
          </x14:formula1>
          <xm:sqref>I3:I20</xm:sqref>
        </x14:dataValidation>
        <x14:dataValidation type="list" allowBlank="1" showInputMessage="1" showErrorMessage="1" xr:uid="{45AB90BB-CD92-473C-9423-06F85242212E}">
          <x14:formula1>
            <xm:f>'Grupo de Produtos'!$B$3:$B$1048576</xm:f>
          </x14:formula1>
          <xm:sqref>H3:H20</xm:sqref>
        </x14:dataValidation>
        <x14:dataValidation type="list" allowBlank="1" showInputMessage="1" showErrorMessage="1" xr:uid="{0AC12E22-A35B-4C1E-9B80-ECDDE576E7F1}">
          <x14:formula1>
            <xm:f>Fornecedores!$B$3:$B$1048576</xm:f>
          </x14:formula1>
          <xm:sqref>G3:G20</xm:sqref>
        </x14:dataValidation>
        <x14:dataValidation type="list" allowBlank="1" showInputMessage="1" showErrorMessage="1" xr:uid="{97A02688-2F11-46A9-9937-0EE6E1C10B58}">
          <x14:formula1>
            <xm:f>'Tipo Despesa'!$B$3:$B$1048576</xm:f>
          </x14:formula1>
          <xm:sqref>B3:B20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831D8-6459-45E7-949B-16232EF8180F}">
  <sheetPr codeName="Planilha28">
    <tabColor rgb="FF00B050"/>
  </sheetPr>
  <dimension ref="A1:D14"/>
  <sheetViews>
    <sheetView workbookViewId="0">
      <pane ySplit="2" topLeftCell="A3" activePane="bottomLeft" state="frozen"/>
      <selection activeCell="N24" sqref="C24:N24"/>
      <selection pane="bottomLeft" activeCell="F7" sqref="F7"/>
    </sheetView>
  </sheetViews>
  <sheetFormatPr defaultColWidth="9.140625" defaultRowHeight="15" x14ac:dyDescent="0.25"/>
  <cols>
    <col min="1" max="1" width="7.42578125" style="1" bestFit="1" customWidth="1"/>
    <col min="2" max="2" width="13.140625" bestFit="1" customWidth="1"/>
    <col min="3" max="3" width="14" bestFit="1" customWidth="1"/>
    <col min="4" max="4" width="9.85546875" style="1" bestFit="1" customWidth="1"/>
    <col min="5" max="34" width="9.140625" customWidth="1"/>
    <col min="35" max="35" width="20.85546875" customWidth="1"/>
    <col min="36" max="36" width="10" customWidth="1"/>
    <col min="37" max="37" width="11.28515625" customWidth="1"/>
  </cols>
  <sheetData>
    <row r="1" spans="1:4" ht="26.25" x14ac:dyDescent="0.25">
      <c r="A1" s="54" t="s">
        <v>499</v>
      </c>
      <c r="B1" s="55"/>
      <c r="C1" s="55"/>
      <c r="D1" s="55"/>
    </row>
    <row r="2" spans="1:4" x14ac:dyDescent="0.25">
      <c r="A2" s="1" t="s">
        <v>1</v>
      </c>
      <c r="B2" s="1" t="s">
        <v>398</v>
      </c>
      <c r="C2" s="1" t="s">
        <v>372</v>
      </c>
      <c r="D2" s="1" t="s">
        <v>2</v>
      </c>
    </row>
    <row r="3" spans="1:4" x14ac:dyDescent="0.25">
      <c r="A3" s="1">
        <v>1</v>
      </c>
      <c r="B3" s="49" t="s">
        <v>500</v>
      </c>
      <c r="C3" s="49" t="s">
        <v>505</v>
      </c>
    </row>
    <row r="4" spans="1:4" x14ac:dyDescent="0.25">
      <c r="A4" s="1">
        <v>2</v>
      </c>
      <c r="B4" s="49" t="s">
        <v>501</v>
      </c>
      <c r="C4" s="49" t="s">
        <v>506</v>
      </c>
    </row>
    <row r="5" spans="1:4" x14ac:dyDescent="0.25">
      <c r="A5" s="1">
        <v>3</v>
      </c>
      <c r="B5" s="49" t="s">
        <v>502</v>
      </c>
      <c r="C5" s="49" t="s">
        <v>507</v>
      </c>
    </row>
    <row r="6" spans="1:4" x14ac:dyDescent="0.25">
      <c r="A6" s="1">
        <v>4</v>
      </c>
      <c r="B6" s="49" t="s">
        <v>510</v>
      </c>
      <c r="C6" s="49" t="s">
        <v>508</v>
      </c>
    </row>
    <row r="7" spans="1:4" x14ac:dyDescent="0.25">
      <c r="A7" s="1">
        <v>5</v>
      </c>
      <c r="B7" s="49" t="s">
        <v>503</v>
      </c>
      <c r="C7" s="49" t="s">
        <v>509</v>
      </c>
    </row>
    <row r="8" spans="1:4" x14ac:dyDescent="0.25">
      <c r="A8" s="1">
        <v>6</v>
      </c>
      <c r="B8" s="49" t="s">
        <v>406</v>
      </c>
      <c r="C8" s="49" t="s">
        <v>511</v>
      </c>
    </row>
    <row r="9" spans="1:4" x14ac:dyDescent="0.25">
      <c r="A9" s="1">
        <v>7</v>
      </c>
      <c r="B9" s="49" t="s">
        <v>504</v>
      </c>
      <c r="C9" s="49" t="s">
        <v>504</v>
      </c>
    </row>
    <row r="10" spans="1:4" x14ac:dyDescent="0.25">
      <c r="A10" s="1">
        <v>8</v>
      </c>
      <c r="B10" s="49" t="s">
        <v>512</v>
      </c>
      <c r="C10" s="49" t="s">
        <v>450</v>
      </c>
    </row>
    <row r="11" spans="1:4" x14ac:dyDescent="0.25">
      <c r="B11" s="49"/>
      <c r="C11" s="49"/>
    </row>
    <row r="12" spans="1:4" x14ac:dyDescent="0.25">
      <c r="B12" s="1"/>
      <c r="C12" s="1"/>
    </row>
    <row r="13" spans="1:4" x14ac:dyDescent="0.25">
      <c r="B13" s="1"/>
      <c r="C13" s="1"/>
    </row>
    <row r="14" spans="1:4" x14ac:dyDescent="0.25">
      <c r="B14" s="1"/>
      <c r="C14" s="1"/>
    </row>
  </sheetData>
  <mergeCells count="1">
    <mergeCell ref="A1:D1"/>
  </mergeCells>
  <phoneticPr fontId="6" type="noConversion"/>
  <dataValidations count="1">
    <dataValidation type="list" allowBlank="1" showInputMessage="1" showErrorMessage="1" sqref="D3:D1048576" xr:uid="{AEB46AAE-23A1-4C19-8D8F-2AB413677308}">
      <formula1>"Excluir"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CD47A-8F4E-4021-99E4-AF495BD72588}">
  <sheetPr codeName="Planilha27">
    <tabColor rgb="FF00B050"/>
  </sheetPr>
  <dimension ref="A1:AK14"/>
  <sheetViews>
    <sheetView workbookViewId="0">
      <pane ySplit="2" topLeftCell="A3" activePane="bottomLeft" state="frozen"/>
      <selection activeCell="N24" sqref="C24:N24"/>
      <selection pane="bottomLeft" activeCell="B14" sqref="B14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498</v>
      </c>
      <c r="B1" s="55"/>
      <c r="C1" s="55"/>
    </row>
    <row r="2" spans="1:3" x14ac:dyDescent="0.25">
      <c r="A2" s="1" t="s">
        <v>1</v>
      </c>
      <c r="B2" s="1" t="s">
        <v>45</v>
      </c>
      <c r="C2" s="1" t="s">
        <v>2</v>
      </c>
    </row>
    <row r="3" spans="1:3" x14ac:dyDescent="0.25">
      <c r="A3" s="1">
        <v>1</v>
      </c>
      <c r="B3" s="1" t="s">
        <v>474</v>
      </c>
      <c r="C3" s="1"/>
    </row>
    <row r="4" spans="1:3" x14ac:dyDescent="0.25">
      <c r="A4" s="1">
        <v>2</v>
      </c>
      <c r="B4" s="1" t="s">
        <v>495</v>
      </c>
      <c r="C4" s="1"/>
    </row>
    <row r="5" spans="1:3" x14ac:dyDescent="0.25">
      <c r="A5" s="1">
        <v>3</v>
      </c>
      <c r="B5" s="1" t="s">
        <v>496</v>
      </c>
      <c r="C5" s="1"/>
    </row>
    <row r="6" spans="1:3" x14ac:dyDescent="0.25">
      <c r="A6" s="1">
        <v>4</v>
      </c>
      <c r="B6" s="1" t="s">
        <v>497</v>
      </c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918DE2C-EA35-4EFA-B984-A41D3B855D63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D93A1-A40E-48C9-BFD5-F541F0C3600D}">
  <sheetPr codeName="Planilha26">
    <tabColor rgb="FF00B050"/>
  </sheetPr>
  <dimension ref="A1:AX15"/>
  <sheetViews>
    <sheetView workbookViewId="0">
      <pane ySplit="2" topLeftCell="A3" activePane="bottomLeft" state="frozen"/>
      <selection activeCell="N24" sqref="C24:N24"/>
      <selection pane="bottomLeft" activeCell="N24" sqref="C24:N24"/>
    </sheetView>
  </sheetViews>
  <sheetFormatPr defaultColWidth="0" defaultRowHeight="15" x14ac:dyDescent="0.25"/>
  <cols>
    <col min="1" max="1" width="7.42578125" style="1" bestFit="1" customWidth="1"/>
    <col min="2" max="2" width="18.140625" bestFit="1" customWidth="1"/>
    <col min="3" max="3" width="18.140625" customWidth="1"/>
    <col min="4" max="4" width="13.140625" bestFit="1" customWidth="1"/>
    <col min="5" max="5" width="9.85546875" bestFit="1" customWidth="1"/>
    <col min="6" max="36" width="9.140625" hidden="1" customWidth="1"/>
    <col min="37" max="37" width="20.85546875" hidden="1" customWidth="1"/>
    <col min="38" max="38" width="10" hidden="1" customWidth="1"/>
    <col min="39" max="40" width="11.28515625" hidden="1" customWidth="1"/>
    <col min="41" max="16384" width="9.140625" hidden="1"/>
  </cols>
  <sheetData>
    <row r="1" spans="1:50" ht="26.25" x14ac:dyDescent="0.25">
      <c r="A1" s="54" t="s">
        <v>490</v>
      </c>
      <c r="B1" s="55"/>
      <c r="C1" s="55"/>
      <c r="D1" s="55"/>
      <c r="E1" s="55"/>
    </row>
    <row r="2" spans="1:50" x14ac:dyDescent="0.25">
      <c r="A2" s="1" t="s">
        <v>1</v>
      </c>
      <c r="B2" s="1" t="s">
        <v>45</v>
      </c>
      <c r="C2" s="1" t="s">
        <v>513</v>
      </c>
      <c r="D2" s="1" t="s">
        <v>398</v>
      </c>
      <c r="E2" s="1" t="s">
        <v>2</v>
      </c>
    </row>
    <row r="3" spans="1:50" x14ac:dyDescent="0.25">
      <c r="A3" s="1">
        <v>18</v>
      </c>
      <c r="B3" s="1" t="s">
        <v>491</v>
      </c>
      <c r="C3" s="1" t="s">
        <v>497</v>
      </c>
      <c r="D3" s="1" t="s">
        <v>502</v>
      </c>
      <c r="E3" s="1"/>
      <c r="AX3">
        <v>21</v>
      </c>
    </row>
    <row r="4" spans="1:50" x14ac:dyDescent="0.25">
      <c r="A4" s="1">
        <v>19</v>
      </c>
      <c r="B4" s="1" t="s">
        <v>492</v>
      </c>
      <c r="C4" s="1" t="s">
        <v>497</v>
      </c>
      <c r="D4" s="1" t="s">
        <v>502</v>
      </c>
      <c r="E4" s="1"/>
    </row>
    <row r="5" spans="1:50" x14ac:dyDescent="0.25">
      <c r="A5" s="1">
        <v>20</v>
      </c>
      <c r="B5" s="1" t="s">
        <v>493</v>
      </c>
      <c r="C5" s="1" t="s">
        <v>497</v>
      </c>
      <c r="D5" s="1" t="s">
        <v>502</v>
      </c>
      <c r="E5" s="1"/>
    </row>
    <row r="6" spans="1:50" x14ac:dyDescent="0.25">
      <c r="A6" s="1">
        <v>21</v>
      </c>
      <c r="B6" s="1" t="s">
        <v>494</v>
      </c>
      <c r="C6" s="1" t="s">
        <v>497</v>
      </c>
      <c r="D6" s="1" t="s">
        <v>502</v>
      </c>
      <c r="E6" s="1"/>
    </row>
    <row r="7" spans="1:50" x14ac:dyDescent="0.25">
      <c r="B7" s="1"/>
      <c r="C7" s="1"/>
      <c r="D7" s="1"/>
      <c r="E7" s="1"/>
    </row>
    <row r="8" spans="1:50" x14ac:dyDescent="0.25">
      <c r="B8" s="1"/>
      <c r="C8" s="1"/>
      <c r="D8" s="1"/>
      <c r="E8" s="1"/>
    </row>
    <row r="9" spans="1:50" x14ac:dyDescent="0.25">
      <c r="B9" s="1"/>
      <c r="C9" s="1"/>
      <c r="D9" s="1"/>
      <c r="E9" s="1"/>
    </row>
    <row r="10" spans="1:50" x14ac:dyDescent="0.25">
      <c r="B10" s="1"/>
      <c r="C10" s="1"/>
      <c r="D10" s="1"/>
      <c r="E10" s="1"/>
    </row>
    <row r="11" spans="1:50" x14ac:dyDescent="0.25">
      <c r="B11" s="1"/>
      <c r="C11" s="1"/>
      <c r="D11" s="1"/>
      <c r="E11" s="1"/>
    </row>
    <row r="12" spans="1:50" x14ac:dyDescent="0.25">
      <c r="B12" s="1"/>
      <c r="C12" s="1"/>
      <c r="D12" s="1"/>
      <c r="E12" s="1"/>
    </row>
    <row r="13" spans="1:50" x14ac:dyDescent="0.25">
      <c r="B13" s="1"/>
      <c r="C13" s="1"/>
      <c r="D13" s="1"/>
      <c r="E13" s="1"/>
    </row>
    <row r="14" spans="1:50" x14ac:dyDescent="0.25">
      <c r="B14" s="1"/>
      <c r="C14" s="1"/>
      <c r="D14" s="1"/>
      <c r="E14" s="1"/>
    </row>
    <row r="15" spans="1:50" x14ac:dyDescent="0.25">
      <c r="B15" s="1"/>
      <c r="C15" s="1"/>
      <c r="D15" s="1"/>
      <c r="E15" s="1"/>
    </row>
  </sheetData>
  <mergeCells count="1">
    <mergeCell ref="A1:E1"/>
  </mergeCells>
  <dataValidations count="1">
    <dataValidation type="list" allowBlank="1" showInputMessage="1" showErrorMessage="1" sqref="E3:E1048576" xr:uid="{61D84840-0709-431F-89CE-87643DF0F9DC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AEDCAF-5E5B-4AFB-A05F-B2A39ECBD389}">
          <x14:formula1>
            <xm:f>'Unidades de Medidas'!$B$3:$B$1048576</xm:f>
          </x14:formula1>
          <xm:sqref>D3:D6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ACE80-895E-4D32-A4A4-14D74BA393E2}">
  <sheetPr codeName="Planilha25">
    <tabColor rgb="FF00B050"/>
  </sheetPr>
  <dimension ref="A1:AX14"/>
  <sheetViews>
    <sheetView workbookViewId="0">
      <pane ySplit="2" topLeftCell="A3" activePane="bottomLeft" state="frozen"/>
      <selection activeCell="N24" sqref="C24:N24"/>
      <selection pane="bottomLeft" activeCell="N24" sqref="C24:N24"/>
    </sheetView>
  </sheetViews>
  <sheetFormatPr defaultColWidth="0" defaultRowHeight="15" x14ac:dyDescent="0.25"/>
  <cols>
    <col min="1" max="1" width="7.42578125" style="1" bestFit="1" customWidth="1"/>
    <col min="2" max="2" width="18.140625" bestFit="1" customWidth="1"/>
    <col min="3" max="3" width="18.140625" customWidth="1"/>
    <col min="4" max="4" width="13.140625" bestFit="1" customWidth="1"/>
    <col min="5" max="5" width="9.85546875" bestFit="1" customWidth="1"/>
    <col min="6" max="36" width="9.140625" hidden="1" customWidth="1"/>
    <col min="37" max="37" width="20.85546875" hidden="1" customWidth="1"/>
    <col min="38" max="38" width="10" hidden="1" customWidth="1"/>
    <col min="39" max="39" width="11.28515625" hidden="1" customWidth="1"/>
    <col min="40" max="16384" width="9.140625" hidden="1"/>
  </cols>
  <sheetData>
    <row r="1" spans="1:50" ht="26.25" x14ac:dyDescent="0.25">
      <c r="A1" s="54" t="s">
        <v>477</v>
      </c>
      <c r="B1" s="55"/>
      <c r="C1" s="55"/>
      <c r="D1" s="55"/>
      <c r="E1" s="55"/>
    </row>
    <row r="2" spans="1:50" x14ac:dyDescent="0.25">
      <c r="A2" s="1" t="s">
        <v>1</v>
      </c>
      <c r="B2" s="1" t="s">
        <v>45</v>
      </c>
      <c r="C2" s="1" t="s">
        <v>513</v>
      </c>
      <c r="D2" s="1" t="s">
        <v>398</v>
      </c>
      <c r="E2" s="1" t="s">
        <v>2</v>
      </c>
    </row>
    <row r="3" spans="1:50" x14ac:dyDescent="0.25">
      <c r="A3" s="1">
        <v>12</v>
      </c>
      <c r="B3" s="1" t="s">
        <v>484</v>
      </c>
      <c r="C3" s="1" t="s">
        <v>496</v>
      </c>
      <c r="D3" s="1" t="s">
        <v>501</v>
      </c>
      <c r="E3" s="1"/>
      <c r="AX3">
        <v>17</v>
      </c>
    </row>
    <row r="4" spans="1:50" x14ac:dyDescent="0.25">
      <c r="A4" s="1">
        <v>13</v>
      </c>
      <c r="B4" s="1" t="s">
        <v>485</v>
      </c>
      <c r="C4" s="1" t="s">
        <v>496</v>
      </c>
      <c r="D4" s="1" t="s">
        <v>501</v>
      </c>
      <c r="E4" s="1"/>
    </row>
    <row r="5" spans="1:50" x14ac:dyDescent="0.25">
      <c r="A5" s="1">
        <v>14</v>
      </c>
      <c r="B5" s="1" t="s">
        <v>486</v>
      </c>
      <c r="C5" s="1" t="s">
        <v>496</v>
      </c>
      <c r="D5" s="1" t="s">
        <v>501</v>
      </c>
      <c r="E5" s="1"/>
    </row>
    <row r="6" spans="1:50" x14ac:dyDescent="0.25">
      <c r="A6" s="1">
        <v>15</v>
      </c>
      <c r="B6" s="1" t="s">
        <v>487</v>
      </c>
      <c r="C6" s="1" t="s">
        <v>496</v>
      </c>
      <c r="D6" s="1" t="s">
        <v>501</v>
      </c>
      <c r="E6" s="1"/>
    </row>
    <row r="7" spans="1:50" x14ac:dyDescent="0.25">
      <c r="A7" s="1">
        <v>16</v>
      </c>
      <c r="B7" s="1" t="s">
        <v>488</v>
      </c>
      <c r="C7" s="1" t="s">
        <v>496</v>
      </c>
      <c r="D7" s="1" t="s">
        <v>501</v>
      </c>
      <c r="E7" s="1"/>
    </row>
    <row r="8" spans="1:50" x14ac:dyDescent="0.25">
      <c r="A8" s="1">
        <v>17</v>
      </c>
      <c r="B8" s="1" t="s">
        <v>489</v>
      </c>
      <c r="C8" s="1" t="s">
        <v>496</v>
      </c>
      <c r="D8" s="1" t="s">
        <v>501</v>
      </c>
      <c r="E8" s="1"/>
    </row>
    <row r="9" spans="1:50" x14ac:dyDescent="0.25">
      <c r="B9" s="1"/>
      <c r="C9" s="1"/>
      <c r="D9" s="1"/>
      <c r="E9" s="1"/>
    </row>
    <row r="10" spans="1:50" x14ac:dyDescent="0.25">
      <c r="B10" s="1"/>
      <c r="C10" s="1"/>
      <c r="D10" s="1"/>
      <c r="E10" s="1"/>
    </row>
    <row r="11" spans="1:50" x14ac:dyDescent="0.25">
      <c r="B11" s="1"/>
      <c r="C11" s="1"/>
      <c r="D11" s="1"/>
      <c r="E11" s="1"/>
    </row>
    <row r="12" spans="1:50" x14ac:dyDescent="0.25">
      <c r="B12" s="1"/>
      <c r="C12" s="1"/>
      <c r="D12" s="1"/>
      <c r="E12" s="1"/>
    </row>
    <row r="13" spans="1:50" x14ac:dyDescent="0.25">
      <c r="B13" s="1"/>
      <c r="C13" s="1"/>
      <c r="D13" s="1"/>
      <c r="E13" s="1"/>
    </row>
    <row r="14" spans="1:50" x14ac:dyDescent="0.25">
      <c r="B14" s="1"/>
      <c r="C14" s="1"/>
      <c r="D14" s="1"/>
      <c r="E14" s="1"/>
    </row>
  </sheetData>
  <mergeCells count="1">
    <mergeCell ref="A1:E1"/>
  </mergeCells>
  <dataValidations count="1">
    <dataValidation type="list" allowBlank="1" showInputMessage="1" showErrorMessage="1" sqref="E3:E1048576" xr:uid="{D0DBAD24-F083-4938-A9A4-489A2D134AB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657F6DC-8CCF-438D-AA4B-1AF951D93583}">
          <x14:formula1>
            <xm:f>'Unidades de Medidas'!$B$3:$B$1048576</xm:f>
          </x14:formula1>
          <xm:sqref>D3:D8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0AB25-8D3A-4FAB-8999-13FBC70CC423}">
  <sheetPr codeName="Planilha24">
    <tabColor rgb="FF00B050"/>
  </sheetPr>
  <dimension ref="A1:AX15"/>
  <sheetViews>
    <sheetView workbookViewId="0">
      <pane ySplit="2" topLeftCell="A3" activePane="bottomLeft" state="frozen"/>
      <selection activeCell="N24" sqref="C24:N24"/>
      <selection pane="bottomLeft" activeCell="N24" sqref="C24:N24"/>
    </sheetView>
  </sheetViews>
  <sheetFormatPr defaultColWidth="0" defaultRowHeight="15" x14ac:dyDescent="0.25"/>
  <cols>
    <col min="1" max="1" width="7.42578125" style="1" bestFit="1" customWidth="1"/>
    <col min="2" max="2" width="25.5703125" bestFit="1" customWidth="1"/>
    <col min="3" max="3" width="12.140625" bestFit="1" customWidth="1"/>
    <col min="4" max="4" width="13.140625" bestFit="1" customWidth="1"/>
    <col min="5" max="5" width="9.85546875" bestFit="1" customWidth="1"/>
    <col min="6" max="36" width="9.140625" hidden="1" customWidth="1"/>
    <col min="37" max="37" width="20.85546875" hidden="1" customWidth="1"/>
    <col min="38" max="38" width="10" hidden="1" customWidth="1"/>
    <col min="39" max="39" width="11.28515625" hidden="1" customWidth="1"/>
    <col min="40" max="16384" width="9.140625" hidden="1"/>
  </cols>
  <sheetData>
    <row r="1" spans="1:50" ht="26.25" x14ac:dyDescent="0.25">
      <c r="A1" s="54" t="s">
        <v>476</v>
      </c>
      <c r="B1" s="55"/>
      <c r="C1" s="55"/>
      <c r="D1" s="55"/>
      <c r="E1" s="55"/>
    </row>
    <row r="2" spans="1:50" x14ac:dyDescent="0.25">
      <c r="A2" s="1" t="s">
        <v>1</v>
      </c>
      <c r="B2" s="1" t="s">
        <v>45</v>
      </c>
      <c r="C2" s="1" t="s">
        <v>513</v>
      </c>
      <c r="D2" s="1" t="s">
        <v>398</v>
      </c>
      <c r="E2" s="1" t="s">
        <v>2</v>
      </c>
    </row>
    <row r="3" spans="1:50" x14ac:dyDescent="0.25">
      <c r="A3" s="1">
        <v>7</v>
      </c>
      <c r="B3" s="1" t="s">
        <v>479</v>
      </c>
      <c r="C3" s="1" t="s">
        <v>495</v>
      </c>
      <c r="D3" s="1" t="s">
        <v>500</v>
      </c>
      <c r="E3" s="1"/>
      <c r="AX3">
        <v>11</v>
      </c>
    </row>
    <row r="4" spans="1:50" x14ac:dyDescent="0.25">
      <c r="A4" s="1">
        <v>8</v>
      </c>
      <c r="B4" s="1" t="s">
        <v>480</v>
      </c>
      <c r="C4" s="1" t="s">
        <v>495</v>
      </c>
      <c r="D4" s="1" t="s">
        <v>500</v>
      </c>
      <c r="E4" s="1"/>
    </row>
    <row r="5" spans="1:50" x14ac:dyDescent="0.25">
      <c r="A5" s="1">
        <v>9</v>
      </c>
      <c r="B5" s="1" t="s">
        <v>481</v>
      </c>
      <c r="C5" s="1" t="s">
        <v>495</v>
      </c>
      <c r="D5" s="1" t="s">
        <v>500</v>
      </c>
      <c r="E5" s="1"/>
    </row>
    <row r="6" spans="1:50" x14ac:dyDescent="0.25">
      <c r="A6" s="1">
        <v>10</v>
      </c>
      <c r="B6" s="1" t="s">
        <v>482</v>
      </c>
      <c r="C6" s="1" t="s">
        <v>495</v>
      </c>
      <c r="D6" s="1" t="s">
        <v>500</v>
      </c>
      <c r="E6" s="1"/>
    </row>
    <row r="7" spans="1:50" x14ac:dyDescent="0.25">
      <c r="A7" s="1">
        <v>11</v>
      </c>
      <c r="B7" s="1" t="s">
        <v>483</v>
      </c>
      <c r="C7" s="1" t="s">
        <v>495</v>
      </c>
      <c r="D7" s="1" t="s">
        <v>501</v>
      </c>
      <c r="E7" s="1"/>
    </row>
    <row r="8" spans="1:50" x14ac:dyDescent="0.25">
      <c r="B8" s="1"/>
      <c r="C8" s="1"/>
      <c r="D8" s="1"/>
      <c r="E8" s="1"/>
    </row>
    <row r="9" spans="1:50" x14ac:dyDescent="0.25">
      <c r="B9" s="1"/>
      <c r="C9" s="1"/>
      <c r="D9" s="1"/>
      <c r="E9" s="1"/>
    </row>
    <row r="10" spans="1:50" x14ac:dyDescent="0.25">
      <c r="B10" s="1"/>
      <c r="C10" s="1"/>
      <c r="D10" s="1"/>
      <c r="E10" s="1"/>
    </row>
    <row r="11" spans="1:50" x14ac:dyDescent="0.25">
      <c r="B11" s="1"/>
      <c r="C11" s="1"/>
      <c r="D11" s="1"/>
      <c r="E11" s="1"/>
    </row>
    <row r="12" spans="1:50" x14ac:dyDescent="0.25">
      <c r="B12" s="1"/>
      <c r="C12" s="1"/>
      <c r="D12" s="1"/>
      <c r="E12" s="1"/>
    </row>
    <row r="13" spans="1:50" x14ac:dyDescent="0.25">
      <c r="B13" s="1"/>
      <c r="C13" s="1"/>
      <c r="D13" s="1"/>
      <c r="E13" s="1"/>
    </row>
    <row r="14" spans="1:50" x14ac:dyDescent="0.25">
      <c r="B14" s="1"/>
      <c r="C14" s="1"/>
      <c r="D14" s="1"/>
      <c r="E14" s="1"/>
    </row>
    <row r="15" spans="1:50" x14ac:dyDescent="0.25">
      <c r="B15" s="1"/>
      <c r="C15" s="1"/>
      <c r="D15" s="1"/>
      <c r="E15" s="1"/>
    </row>
  </sheetData>
  <mergeCells count="1">
    <mergeCell ref="A1:E1"/>
  </mergeCells>
  <dataValidations count="1">
    <dataValidation type="list" allowBlank="1" showInputMessage="1" showErrorMessage="1" sqref="E3:E1048576" xr:uid="{5F944A53-365D-446F-BB21-5BC89342FEAB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A2B5FD0-A0C9-4AF5-BD48-4D6595B1832E}">
          <x14:formula1>
            <xm:f>'Unidades de Medidas'!$B$3:$B$1048576</xm:f>
          </x14:formula1>
          <xm:sqref>D3:D7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8">
    <tabColor rgb="FF00B050"/>
  </sheetPr>
  <dimension ref="A1:AK14"/>
  <sheetViews>
    <sheetView workbookViewId="0">
      <pane ySplit="2" topLeftCell="A3" activePane="bottomLeft" state="frozen"/>
      <selection activeCell="N24" sqref="C24:N24"/>
      <selection pane="bottomLeft" activeCell="C5" sqref="C5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547</v>
      </c>
      <c r="B1" s="55"/>
      <c r="C1" s="55"/>
    </row>
    <row r="2" spans="1:3" x14ac:dyDescent="0.25">
      <c r="A2" s="1" t="s">
        <v>1</v>
      </c>
      <c r="B2" s="1" t="s">
        <v>548</v>
      </c>
      <c r="C2" s="1" t="s">
        <v>2</v>
      </c>
    </row>
    <row r="3" spans="1:3" x14ac:dyDescent="0.25">
      <c r="A3" s="1">
        <v>1</v>
      </c>
      <c r="B3" s="1" t="s">
        <v>65</v>
      </c>
      <c r="C3" s="1"/>
    </row>
    <row r="4" spans="1:3" x14ac:dyDescent="0.25">
      <c r="A4" s="1">
        <v>2</v>
      </c>
      <c r="B4" s="1" t="s">
        <v>66</v>
      </c>
      <c r="C4" s="1"/>
    </row>
    <row r="5" spans="1:3" x14ac:dyDescent="0.25">
      <c r="B5" s="1"/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A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5">
    <tabColor rgb="FF00B050"/>
  </sheetPr>
  <dimension ref="A1:AH624"/>
  <sheetViews>
    <sheetView workbookViewId="0">
      <pane xSplit="2" ySplit="2" topLeftCell="C3" activePane="bottomRight" state="frozen"/>
      <selection activeCell="N24" sqref="C24:N24"/>
      <selection pane="topRight" activeCell="N24" sqref="C24:N24"/>
      <selection pane="bottomLeft" activeCell="N24" sqref="C24:N24"/>
      <selection pane="bottomRight" activeCell="A3" sqref="A3"/>
    </sheetView>
  </sheetViews>
  <sheetFormatPr defaultColWidth="9.140625" defaultRowHeight="15" x14ac:dyDescent="0.25"/>
  <cols>
    <col min="1" max="1" width="7.42578125" style="1" bestFit="1" customWidth="1"/>
    <col min="2" max="2" width="11.140625" style="1" bestFit="1" customWidth="1"/>
    <col min="3" max="3" width="9.42578125" style="1" bestFit="1" customWidth="1"/>
    <col min="4" max="4" width="11" style="1" bestFit="1" customWidth="1"/>
    <col min="5" max="5" width="20.85546875" style="1" bestFit="1" customWidth="1"/>
    <col min="6" max="6" width="10.42578125" style="1" bestFit="1" customWidth="1"/>
    <col min="7" max="7" width="21.7109375" style="1" bestFit="1" customWidth="1"/>
    <col min="8" max="8" width="9.85546875" style="1" bestFit="1" customWidth="1"/>
    <col min="9" max="9" width="10.28515625" style="1" bestFit="1" customWidth="1"/>
    <col min="10" max="10" width="13.140625" style="1" bestFit="1" customWidth="1"/>
    <col min="11" max="11" width="10.5703125" style="1" bestFit="1" customWidth="1"/>
    <col min="12" max="12" width="33.85546875" style="1" bestFit="1" customWidth="1"/>
    <col min="13" max="13" width="18.85546875" style="1" bestFit="1" customWidth="1"/>
    <col min="14" max="14" width="16.7109375" style="1" bestFit="1" customWidth="1"/>
    <col min="15" max="15" width="20.7109375" style="1" bestFit="1" customWidth="1"/>
    <col min="16" max="16" width="9.85546875" style="1" bestFit="1" customWidth="1"/>
    <col min="17" max="17" width="17" style="1" bestFit="1" customWidth="1"/>
    <col min="18" max="18" width="18.28515625" style="1" bestFit="1" customWidth="1"/>
    <col min="19" max="19" width="16.85546875" style="1" bestFit="1" customWidth="1"/>
    <col min="20" max="20" width="11.140625" style="1" bestFit="1" customWidth="1"/>
    <col min="21" max="21" width="15.5703125" style="1" bestFit="1" customWidth="1"/>
    <col min="22" max="22" width="9.85546875" style="1" customWidth="1"/>
    <col min="23" max="23" width="13.7109375" style="1" customWidth="1"/>
    <col min="24" max="24" width="25.85546875" style="1" customWidth="1"/>
    <col min="25" max="25" width="14.7109375" style="1" customWidth="1"/>
    <col min="26" max="26" width="35.28515625" style="1" customWidth="1"/>
    <col min="27" max="27" width="20" style="1" customWidth="1"/>
    <col min="28" max="31" width="14.7109375" style="1" customWidth="1"/>
    <col min="32" max="32" width="15.7109375" style="1" customWidth="1"/>
    <col min="33" max="33" width="16.7109375" style="1" customWidth="1"/>
    <col min="34" max="34" width="15.7109375" style="1" customWidth="1"/>
    <col min="35" max="37" width="9.140625" style="1" customWidth="1"/>
    <col min="38" max="38" width="20.85546875" style="1" customWidth="1"/>
    <col min="39" max="39" width="10" style="1" customWidth="1"/>
    <col min="40" max="40" width="11.28515625" style="1" customWidth="1"/>
    <col min="41" max="16384" width="9.140625" style="1"/>
  </cols>
  <sheetData>
    <row r="1" spans="1:34" ht="26.25" x14ac:dyDescent="0.25">
      <c r="A1" s="54" t="s">
        <v>22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</row>
    <row r="2" spans="1:34" x14ac:dyDescent="0.25">
      <c r="A2" s="22" t="s">
        <v>1</v>
      </c>
      <c r="B2" s="22" t="s">
        <v>170</v>
      </c>
      <c r="C2" s="22" t="s">
        <v>175</v>
      </c>
      <c r="D2" s="22" t="s">
        <v>7</v>
      </c>
      <c r="E2" s="22" t="s">
        <v>63</v>
      </c>
      <c r="F2" s="22" t="s">
        <v>49</v>
      </c>
      <c r="G2" s="22" t="s">
        <v>15</v>
      </c>
      <c r="H2" s="22" t="s">
        <v>176</v>
      </c>
      <c r="I2" s="23" t="s">
        <v>56</v>
      </c>
      <c r="J2" s="24" t="s">
        <v>47</v>
      </c>
      <c r="K2" s="24" t="s">
        <v>179</v>
      </c>
      <c r="L2" s="24" t="s">
        <v>174</v>
      </c>
      <c r="M2" s="22" t="s">
        <v>177</v>
      </c>
      <c r="N2" s="23" t="s">
        <v>182</v>
      </c>
      <c r="O2" s="22" t="s">
        <v>178</v>
      </c>
      <c r="P2" s="22" t="s">
        <v>37</v>
      </c>
      <c r="Q2" s="22" t="s">
        <v>180</v>
      </c>
      <c r="R2" s="22" t="s">
        <v>181</v>
      </c>
      <c r="S2" s="22" t="s">
        <v>183</v>
      </c>
      <c r="T2" s="23" t="s">
        <v>184</v>
      </c>
      <c r="U2" s="22" t="s">
        <v>185</v>
      </c>
      <c r="V2" s="22" t="s">
        <v>2</v>
      </c>
      <c r="W2" s="22" t="s">
        <v>189</v>
      </c>
      <c r="X2" s="22" t="s">
        <v>197</v>
      </c>
      <c r="Y2" s="22" t="s">
        <v>198</v>
      </c>
      <c r="Z2" s="24" t="s">
        <v>199</v>
      </c>
      <c r="AA2" s="24" t="s">
        <v>200</v>
      </c>
      <c r="AB2" s="24" t="s">
        <v>351</v>
      </c>
      <c r="AC2" s="24" t="s">
        <v>352</v>
      </c>
      <c r="AD2" s="24" t="s">
        <v>353</v>
      </c>
      <c r="AE2" s="24" t="s">
        <v>354</v>
      </c>
      <c r="AF2" s="24" t="s">
        <v>355</v>
      </c>
      <c r="AG2" s="24" t="s">
        <v>357</v>
      </c>
      <c r="AH2" s="24" t="s">
        <v>356</v>
      </c>
    </row>
    <row r="3" spans="1:34" x14ac:dyDescent="0.25">
      <c r="A3" s="12">
        <v>1</v>
      </c>
      <c r="B3" s="12" t="s">
        <v>173</v>
      </c>
      <c r="C3" s="10" t="s">
        <v>279</v>
      </c>
      <c r="D3" s="10" t="s">
        <v>196</v>
      </c>
      <c r="E3" s="10" t="s">
        <v>65</v>
      </c>
      <c r="F3" s="10" t="s">
        <v>67</v>
      </c>
      <c r="G3" s="12" t="s">
        <v>16</v>
      </c>
      <c r="H3" s="1" t="s">
        <v>186</v>
      </c>
      <c r="I3" s="1" t="s">
        <v>57</v>
      </c>
      <c r="J3" s="1" t="s">
        <v>145</v>
      </c>
      <c r="K3" s="1" t="str">
        <f ca="1">IFERROR(IF(Tabela1563789101112131415[[#This Row],[Data Nascimento]]=0,"",ROUNDDOWN(SUM((TODAY()-Tabela1563789101112131415[[#This Row],[Data Nascimento]])/30),0)),"")&amp;" M "</f>
        <v xml:space="preserve">39 M </v>
      </c>
      <c r="L3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TOURO REPRODUTOR + 36 MESES</v>
      </c>
      <c r="M3" s="13">
        <v>44927</v>
      </c>
      <c r="N3" s="13">
        <v>44197</v>
      </c>
      <c r="O3" s="13">
        <v>44197</v>
      </c>
      <c r="P3" s="11">
        <v>300</v>
      </c>
      <c r="Q3" s="13"/>
      <c r="R3" s="13"/>
      <c r="S3" s="13"/>
      <c r="U3" s="13"/>
      <c r="V3" s="28"/>
      <c r="W3" s="1" t="str">
        <f>IFERROR(IF(Tabela1563789101112131415[[#This Row],[Status]]="ATIVO",Tabela1563789101112131415[[#This Row],[Brinco]],""),"")</f>
        <v>B1</v>
      </c>
      <c r="X3" s="1" t="str">
        <f>Tabela1563789101112131415[[#This Row],[Brinco]]&amp;" - "&amp;Tabela1563789101112131415[[#This Row],[Sitio]]</f>
        <v>B1 - SÃO SEBASTIÃOZINHO</v>
      </c>
      <c r="Y3" s="14">
        <f>Tabela1563789101112131415[[#This Row],[ID]]</f>
        <v>1</v>
      </c>
      <c r="Z3" s="15" t="str">
        <f ca="1">Tabela1563789101112131415[[#This Row],[Categoria]]</f>
        <v>TOURO REPRODUTOR + 36 MESES</v>
      </c>
      <c r="AA3" s="1" t="str">
        <f>Tabela1563789101112131415[[#This Row],[Tipo]]</f>
        <v>TOURO REPRODUTOR</v>
      </c>
      <c r="AB3" s="1">
        <f>IFERROR(VLOOKUP($D3,CHOOSE({1,2},'Status Animal'!$B$3:$B$100000,'Status Animal'!$A$3:$A$100000),2,0),"")</f>
        <v>1</v>
      </c>
      <c r="AC3" s="1">
        <f>IFERROR(VLOOKUP($E3,CHOOSE({1,2},'Propriedades Rurais'!$B$3:$B$100000,'Propriedades Rurais'!$A$3:$A$100000),2,0),"")</f>
        <v>1</v>
      </c>
      <c r="AD3" s="1">
        <f>IFERROR(VLOOKUP($F3,CHOOSE({1,2},Pastos!$B$3:$B$100000,Pastos!$A$3:$A$100000),2,0),"")</f>
        <v>1</v>
      </c>
      <c r="AE3" s="1">
        <f>IFERROR(VLOOKUP($G3,CHOOSE({1,2},'Tipo Animal'!$B$3:$B$10000,'Tipo Animal'!$A$3:$A$10000),2,0),"")</f>
        <v>11</v>
      </c>
      <c r="AF3" s="1">
        <f>IFERROR(VLOOKUP($I3,CHOOSE({1,2},Raça!$B$3:$B$100000,Raça!$A$3:$A$100000),2,0),"")</f>
        <v>1</v>
      </c>
      <c r="AG3" s="1">
        <f>IFERROR(VLOOKUP($J3,CHOOSE({1,2},Origem!$B$3:$B$100000,Origem!$A$3:$A$100000),2,0),"")</f>
        <v>4</v>
      </c>
      <c r="AH3" s="1">
        <f>IFERROR(VLOOKUP($T3,CHOOSE({1,2},'Causa Da Morte'!$B$3:$B$100000,'Causa Da Morte'!$A$3:$A$100000),2,0),"")</f>
        <v>0</v>
      </c>
    </row>
    <row r="4" spans="1:34" x14ac:dyDescent="0.25">
      <c r="A4" s="12">
        <v>2</v>
      </c>
      <c r="B4" s="12" t="s">
        <v>187</v>
      </c>
      <c r="C4" s="10" t="s">
        <v>279</v>
      </c>
      <c r="D4" s="10" t="s">
        <v>196</v>
      </c>
      <c r="E4" s="10" t="s">
        <v>65</v>
      </c>
      <c r="F4" s="10" t="s">
        <v>67</v>
      </c>
      <c r="G4" s="10" t="s">
        <v>195</v>
      </c>
      <c r="H4" s="1" t="s">
        <v>186</v>
      </c>
      <c r="I4" s="1" t="s">
        <v>57</v>
      </c>
      <c r="J4" s="1" t="s">
        <v>145</v>
      </c>
      <c r="K4" s="1" t="str">
        <f ca="1">IFERROR(IF(Tabela1563789101112131415[[#This Row],[Data Nascimento]]=0,"",ROUNDDOWN(SUM((TODAY()-Tabela1563789101112131415[[#This Row],[Data Nascimento]])/30),0)),"")&amp;" M "</f>
        <v xml:space="preserve">26 M </v>
      </c>
      <c r="L4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NOVILHA 25 A 36 MESES</v>
      </c>
      <c r="M4" s="13">
        <v>44927</v>
      </c>
      <c r="N4" s="13">
        <v>44562</v>
      </c>
      <c r="O4" s="13">
        <v>44562</v>
      </c>
      <c r="P4" s="11">
        <v>300</v>
      </c>
      <c r="Q4" s="28"/>
      <c r="R4" s="28"/>
      <c r="S4" s="28"/>
      <c r="U4" s="13"/>
      <c r="V4" s="28"/>
      <c r="W4" s="1" t="str">
        <f>IFERROR(IF(Tabela1563789101112131415[[#This Row],[Status]]="ATIVO",Tabela1563789101112131415[[#This Row],[Brinco]],""),"")</f>
        <v>B2</v>
      </c>
      <c r="X4" s="1" t="str">
        <f>Tabela1563789101112131415[[#This Row],[Brinco]]&amp;" - "&amp;Tabela1563789101112131415[[#This Row],[Sitio]]</f>
        <v>B2 - SÃO SEBASTIÃOZINHO</v>
      </c>
      <c r="Y4" s="14">
        <f>Tabela1563789101112131415[[#This Row],[ID]]</f>
        <v>2</v>
      </c>
      <c r="Z4" s="15" t="str">
        <f ca="1">Tabela1563789101112131415[[#This Row],[Categoria]]</f>
        <v>NOVILHA 25 A 36 MESES</v>
      </c>
      <c r="AA4" s="1" t="str">
        <f>Tabela1563789101112131415[[#This Row],[Tipo]]</f>
        <v>NOVILHA</v>
      </c>
      <c r="AB4" s="1">
        <f>IFERROR(VLOOKUP($D4,CHOOSE({1,2},'Status Animal'!$B$3:$B$100000,'Status Animal'!$A$3:$A$100000),2,0),"")</f>
        <v>1</v>
      </c>
      <c r="AC4" s="1">
        <f>IFERROR(VLOOKUP($E4,CHOOSE({1,2},'Propriedades Rurais'!$B$3:$B$100000,'Propriedades Rurais'!$A$3:$A$100000),2,0),"")</f>
        <v>1</v>
      </c>
      <c r="AD4" s="1">
        <f>IFERROR(VLOOKUP($F4,CHOOSE({1,2},Pastos!$B$3:$B$100000,Pastos!$A$3:$A$100000),2,0),"")</f>
        <v>1</v>
      </c>
      <c r="AE4" s="1">
        <f>IFERROR(VLOOKUP($G4,CHOOSE({1,2},'Tipo Animal'!$B$3:$B$10000,'Tipo Animal'!$A$3:$A$10000),2,0),"")</f>
        <v>8</v>
      </c>
      <c r="AF4" s="1">
        <f>IFERROR(VLOOKUP($I4,CHOOSE({1,2},Raça!$B$3:$B$100000,Raça!$A$3:$A$100000),2,0),"")</f>
        <v>1</v>
      </c>
      <c r="AG4" s="1">
        <f>IFERROR(VLOOKUP($J4,CHOOSE({1,2},Origem!$B$3:$B$100000,Origem!$A$3:$A$100000),2,0),"")</f>
        <v>4</v>
      </c>
      <c r="AH4" s="1">
        <f>IFERROR(VLOOKUP($T4,CHOOSE({1,2},'Causa Da Morte'!$B$3:$B$100000,'Causa Da Morte'!$A$3:$A$100000),2,0),"")</f>
        <v>0</v>
      </c>
    </row>
    <row r="5" spans="1:34" x14ac:dyDescent="0.25">
      <c r="A5" s="12">
        <v>3</v>
      </c>
      <c r="B5" s="12" t="s">
        <v>188</v>
      </c>
      <c r="C5" s="10" t="s">
        <v>279</v>
      </c>
      <c r="D5" s="10" t="s">
        <v>196</v>
      </c>
      <c r="E5" s="10" t="s">
        <v>65</v>
      </c>
      <c r="F5" s="10" t="s">
        <v>67</v>
      </c>
      <c r="G5" s="10" t="s">
        <v>16</v>
      </c>
      <c r="H5" s="1" t="s">
        <v>186</v>
      </c>
      <c r="I5" s="1" t="s">
        <v>58</v>
      </c>
      <c r="J5" s="1" t="s">
        <v>145</v>
      </c>
      <c r="K5" s="1" t="str">
        <f ca="1">IFERROR(IF(Tabela1563789101112131415[[#This Row],[Data Nascimento]]=0,"",ROUNDDOWN(SUM((TODAY()-Tabela1563789101112131415[[#This Row],[Data Nascimento]])/30),0)),"")&amp;" M "</f>
        <v xml:space="preserve">39 M </v>
      </c>
      <c r="L5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TOURO REPRODUTOR + 36 MESES</v>
      </c>
      <c r="M5" s="13">
        <v>44927</v>
      </c>
      <c r="N5" s="13">
        <v>44197</v>
      </c>
      <c r="O5" s="13">
        <v>44197</v>
      </c>
      <c r="P5" s="11">
        <v>300</v>
      </c>
      <c r="Q5" s="28"/>
      <c r="R5" s="28"/>
      <c r="S5" s="28"/>
      <c r="U5" s="13"/>
      <c r="V5" s="28"/>
      <c r="W5" s="1" t="str">
        <f>IFERROR(IF(Tabela1563789101112131415[[#This Row],[Status]]="ATIVO",Tabela1563789101112131415[[#This Row],[Brinco]],""),"")</f>
        <v>B3</v>
      </c>
      <c r="X5" s="1" t="str">
        <f>Tabela1563789101112131415[[#This Row],[Brinco]]&amp;" - "&amp;Tabela1563789101112131415[[#This Row],[Sitio]]</f>
        <v>B3 - SÃO SEBASTIÃOZINHO</v>
      </c>
      <c r="Y5" s="14">
        <f>Tabela1563789101112131415[[#This Row],[ID]]</f>
        <v>3</v>
      </c>
      <c r="Z5" s="15" t="str">
        <f ca="1">Tabela1563789101112131415[[#This Row],[Categoria]]</f>
        <v>TOURO REPRODUTOR + 36 MESES</v>
      </c>
      <c r="AA5" s="1" t="str">
        <f>Tabela1563789101112131415[[#This Row],[Tipo]]</f>
        <v>TOURO REPRODUTOR</v>
      </c>
      <c r="AB5" s="1">
        <f>IFERROR(VLOOKUP($D5,CHOOSE({1,2},'Status Animal'!$B$3:$B$100000,'Status Animal'!$A$3:$A$100000),2,0),"")</f>
        <v>1</v>
      </c>
      <c r="AC5" s="1">
        <f>IFERROR(VLOOKUP($E5,CHOOSE({1,2},'Propriedades Rurais'!$B$3:$B$100000,'Propriedades Rurais'!$A$3:$A$100000),2,0),"")</f>
        <v>1</v>
      </c>
      <c r="AD5" s="1">
        <f>IFERROR(VLOOKUP($F5,CHOOSE({1,2},Pastos!$B$3:$B$100000,Pastos!$A$3:$A$100000),2,0),"")</f>
        <v>1</v>
      </c>
      <c r="AE5" s="1">
        <f>IFERROR(VLOOKUP($G5,CHOOSE({1,2},'Tipo Animal'!$B$3:$B$10000,'Tipo Animal'!$A$3:$A$10000),2,0),"")</f>
        <v>11</v>
      </c>
      <c r="AF5" s="1">
        <f>IFERROR(VLOOKUP($I5,CHOOSE({1,2},Raça!$B$3:$B$100000,Raça!$A$3:$A$100000),2,0),"")</f>
        <v>2</v>
      </c>
      <c r="AG5" s="1">
        <f>IFERROR(VLOOKUP($J5,CHOOSE({1,2},Origem!$B$3:$B$100000,Origem!$A$3:$A$100000),2,0),"")</f>
        <v>4</v>
      </c>
      <c r="AH5" s="1">
        <f>IFERROR(VLOOKUP($T5,CHOOSE({1,2},'Causa Da Morte'!$B$3:$B$100000,'Causa Da Morte'!$A$3:$A$100000),2,0),"")</f>
        <v>0</v>
      </c>
    </row>
    <row r="6" spans="1:34" x14ac:dyDescent="0.25">
      <c r="A6" s="12">
        <v>21</v>
      </c>
      <c r="B6" s="12" t="s">
        <v>361</v>
      </c>
      <c r="C6" s="10" t="s">
        <v>279</v>
      </c>
      <c r="D6" s="10" t="s">
        <v>196</v>
      </c>
      <c r="E6" s="10" t="s">
        <v>65</v>
      </c>
      <c r="F6" s="10" t="s">
        <v>67</v>
      </c>
      <c r="G6" s="10" t="s">
        <v>16</v>
      </c>
      <c r="H6" s="1" t="s">
        <v>186</v>
      </c>
      <c r="I6" s="1" t="s">
        <v>58</v>
      </c>
      <c r="J6" s="1" t="s">
        <v>145</v>
      </c>
      <c r="K6" s="1" t="str">
        <f ca="1">IFERROR(IF(Tabela1563789101112131415[[#This Row],[Data Nascimento]]=0,"",ROUNDDOWN(SUM((TODAY()-Tabela1563789101112131415[[#This Row],[Data Nascimento]])/30),0)),"")&amp;" M "</f>
        <v xml:space="preserve">39 M </v>
      </c>
      <c r="L6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TOURO REPRODUTOR + 36 MESES</v>
      </c>
      <c r="M6" s="13">
        <v>44927</v>
      </c>
      <c r="N6" s="13">
        <v>44197</v>
      </c>
      <c r="O6" s="13">
        <v>44197</v>
      </c>
      <c r="P6" s="11">
        <v>300</v>
      </c>
      <c r="Q6" s="28"/>
      <c r="R6" s="28"/>
      <c r="S6" s="28"/>
      <c r="U6" s="13"/>
      <c r="V6" s="28"/>
      <c r="W6" s="1" t="str">
        <f>IFERROR(IF(Tabela1563789101112131415[[#This Row],[Status]]="ATIVO",Tabela1563789101112131415[[#This Row],[Brinco]],""),"")</f>
        <v>B5</v>
      </c>
      <c r="X6" s="1" t="str">
        <f>Tabela1563789101112131415[[#This Row],[Brinco]]&amp;" - "&amp;Tabela1563789101112131415[[#This Row],[Sitio]]</f>
        <v>B5 - SÃO SEBASTIÃOZINHO</v>
      </c>
      <c r="Y6" s="14">
        <f>Tabela1563789101112131415[[#This Row],[ID]]</f>
        <v>21</v>
      </c>
      <c r="Z6" s="15" t="str">
        <f ca="1">Tabela1563789101112131415[[#This Row],[Categoria]]</f>
        <v>TOURO REPRODUTOR + 36 MESES</v>
      </c>
      <c r="AA6" s="1" t="str">
        <f>Tabela1563789101112131415[[#This Row],[Tipo]]</f>
        <v>TOURO REPRODUTOR</v>
      </c>
      <c r="AB6" s="1">
        <f>IFERROR(VLOOKUP($D6,CHOOSE({1,2},'Status Animal'!$B$3:$B$100000,'Status Animal'!$A$3:$A$100000),2,0),"")</f>
        <v>1</v>
      </c>
      <c r="AC6" s="1">
        <f>IFERROR(VLOOKUP($E6,CHOOSE({1,2},'Propriedades Rurais'!$B$3:$B$100000,'Propriedades Rurais'!$A$3:$A$100000),2,0),"")</f>
        <v>1</v>
      </c>
      <c r="AD6" s="1">
        <f>IFERROR(VLOOKUP($F6,CHOOSE({1,2},Pastos!$B$3:$B$100000,Pastos!$A$3:$A$100000),2,0),"")</f>
        <v>1</v>
      </c>
      <c r="AE6" s="1">
        <f>IFERROR(VLOOKUP($G6,CHOOSE({1,2},'Tipo Animal'!$B$3:$B$10000,'Tipo Animal'!$A$3:$A$10000),2,0),"")</f>
        <v>11</v>
      </c>
      <c r="AF6" s="1">
        <f>IFERROR(VLOOKUP($I6,CHOOSE({1,2},Raça!$B$3:$B$100000,Raça!$A$3:$A$100000),2,0),"")</f>
        <v>2</v>
      </c>
      <c r="AG6" s="1">
        <f>IFERROR(VLOOKUP($J6,CHOOSE({1,2},Origem!$B$3:$B$100000,Origem!$A$3:$A$100000),2,0),"")</f>
        <v>4</v>
      </c>
      <c r="AH6" s="1">
        <f>IFERROR(VLOOKUP($T6,CHOOSE({1,2},'Causa Da Morte'!$B$3:$B$100000,'Causa Da Morte'!$A$3:$A$100000),2,0),"")</f>
        <v>0</v>
      </c>
    </row>
    <row r="7" spans="1:34" x14ac:dyDescent="0.25">
      <c r="A7" s="12">
        <v>22</v>
      </c>
      <c r="B7" s="12" t="s">
        <v>362</v>
      </c>
      <c r="C7" s="10" t="s">
        <v>279</v>
      </c>
      <c r="D7" s="10" t="s">
        <v>196</v>
      </c>
      <c r="E7" s="10" t="s">
        <v>65</v>
      </c>
      <c r="F7" s="10" t="s">
        <v>67</v>
      </c>
      <c r="G7" s="10" t="s">
        <v>16</v>
      </c>
      <c r="H7" s="1" t="s">
        <v>186</v>
      </c>
      <c r="I7" s="1" t="s">
        <v>58</v>
      </c>
      <c r="J7" s="1" t="s">
        <v>145</v>
      </c>
      <c r="K7" s="1" t="str">
        <f ca="1">IFERROR(IF(Tabela1563789101112131415[[#This Row],[Data Nascimento]]=0,"",ROUNDDOWN(SUM((TODAY()-Tabela1563789101112131415[[#This Row],[Data Nascimento]])/30),0)),"")&amp;" M "</f>
        <v xml:space="preserve">39 M </v>
      </c>
      <c r="L7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TOURO REPRODUTOR + 36 MESES</v>
      </c>
      <c r="M7" s="13">
        <v>44927</v>
      </c>
      <c r="N7" s="13">
        <v>44197</v>
      </c>
      <c r="O7" s="13">
        <v>44197</v>
      </c>
      <c r="P7" s="11">
        <v>300</v>
      </c>
      <c r="Q7" s="28"/>
      <c r="R7" s="28"/>
      <c r="S7" s="28"/>
      <c r="U7" s="13"/>
      <c r="V7" s="28"/>
      <c r="W7" s="1" t="str">
        <f>IFERROR(IF(Tabela1563789101112131415[[#This Row],[Status]]="ATIVO",Tabela1563789101112131415[[#This Row],[Brinco]],""),"")</f>
        <v>B6</v>
      </c>
      <c r="X7" s="1" t="str">
        <f>Tabela1563789101112131415[[#This Row],[Brinco]]&amp;" - "&amp;Tabela1563789101112131415[[#This Row],[Sitio]]</f>
        <v>B6 - SÃO SEBASTIÃOZINHO</v>
      </c>
      <c r="Y7" s="14">
        <f>Tabela1563789101112131415[[#This Row],[ID]]</f>
        <v>22</v>
      </c>
      <c r="Z7" s="15" t="str">
        <f ca="1">Tabela1563789101112131415[[#This Row],[Categoria]]</f>
        <v>TOURO REPRODUTOR + 36 MESES</v>
      </c>
      <c r="AA7" s="1" t="str">
        <f>Tabela1563789101112131415[[#This Row],[Tipo]]</f>
        <v>TOURO REPRODUTOR</v>
      </c>
      <c r="AB7" s="1">
        <f>IFERROR(VLOOKUP($D7,CHOOSE({1,2},'Status Animal'!$B$3:$B$100000,'Status Animal'!$A$3:$A$100000),2,0),"")</f>
        <v>1</v>
      </c>
      <c r="AC7" s="1">
        <f>IFERROR(VLOOKUP($E7,CHOOSE({1,2},'Propriedades Rurais'!$B$3:$B$100000,'Propriedades Rurais'!$A$3:$A$100000),2,0),"")</f>
        <v>1</v>
      </c>
      <c r="AD7" s="1">
        <f>IFERROR(VLOOKUP($F7,CHOOSE({1,2},Pastos!$B$3:$B$100000,Pastos!$A$3:$A$100000),2,0),"")</f>
        <v>1</v>
      </c>
      <c r="AE7" s="1">
        <f>IFERROR(VLOOKUP($G7,CHOOSE({1,2},'Tipo Animal'!$B$3:$B$10000,'Tipo Animal'!$A$3:$A$10000),2,0),"")</f>
        <v>11</v>
      </c>
      <c r="AF7" s="1">
        <f>IFERROR(VLOOKUP($I7,CHOOSE({1,2},Raça!$B$3:$B$100000,Raça!$A$3:$A$100000),2,0),"")</f>
        <v>2</v>
      </c>
      <c r="AG7" s="1">
        <f>IFERROR(VLOOKUP($J7,CHOOSE({1,2},Origem!$B$3:$B$100000,Origem!$A$3:$A$100000),2,0),"")</f>
        <v>4</v>
      </c>
      <c r="AH7" s="1">
        <f>IFERROR(VLOOKUP($T7,CHOOSE({1,2},'Causa Da Morte'!$B$3:$B$100000,'Causa Da Morte'!$A$3:$A$100000),2,0),"")</f>
        <v>0</v>
      </c>
    </row>
    <row r="8" spans="1:34" x14ac:dyDescent="0.25">
      <c r="A8" s="12">
        <v>23</v>
      </c>
      <c r="B8" s="12" t="s">
        <v>363</v>
      </c>
      <c r="C8" s="10" t="s">
        <v>279</v>
      </c>
      <c r="D8" s="10" t="s">
        <v>8</v>
      </c>
      <c r="E8" s="10" t="s">
        <v>66</v>
      </c>
      <c r="F8" s="10" t="s">
        <v>68</v>
      </c>
      <c r="G8" s="10" t="s">
        <v>18</v>
      </c>
      <c r="H8" s="1" t="s">
        <v>186</v>
      </c>
      <c r="I8" s="1" t="s">
        <v>62</v>
      </c>
      <c r="J8" s="1" t="s">
        <v>145</v>
      </c>
      <c r="K8" s="1" t="str">
        <f ca="1">IFERROR(IF(Tabela1563789101112131415[[#This Row],[Data Nascimento]]=0,"",ROUNDDOWN(SUM((TODAY()-Tabela1563789101112131415[[#This Row],[Data Nascimento]])/30),0)),"")&amp;" M "</f>
        <v xml:space="preserve">26 M </v>
      </c>
      <c r="L8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VACA REFUGO 25 A 36 MESES</v>
      </c>
      <c r="M8" s="13">
        <v>44593</v>
      </c>
      <c r="N8" s="13">
        <v>44197</v>
      </c>
      <c r="O8" s="13">
        <v>44562</v>
      </c>
      <c r="P8" s="11">
        <v>600</v>
      </c>
      <c r="Q8" s="28" t="s">
        <v>362</v>
      </c>
      <c r="R8" s="28" t="s">
        <v>361</v>
      </c>
      <c r="S8" s="28" t="s">
        <v>365</v>
      </c>
      <c r="T8" s="1" t="s">
        <v>159</v>
      </c>
      <c r="U8" s="13">
        <v>45326</v>
      </c>
      <c r="V8" s="28"/>
      <c r="W8" s="1" t="str">
        <f>IFERROR(IF(Tabela1563789101112131415[[#This Row],[Status]]="ATIVO",Tabela1563789101112131415[[#This Row],[Brinco]],""),"")</f>
        <v/>
      </c>
      <c r="X8" s="1" t="str">
        <f>Tabela1563789101112131415[[#This Row],[Brinco]]&amp;" - "&amp;Tabela1563789101112131415[[#This Row],[Sitio]]</f>
        <v>B7 - MARAVILHA</v>
      </c>
      <c r="Y8" s="14">
        <f>Tabela1563789101112131415[[#This Row],[ID]]</f>
        <v>23</v>
      </c>
      <c r="Z8" s="15" t="str">
        <f ca="1">Tabela1563789101112131415[[#This Row],[Categoria]]</f>
        <v>VACA REFUGO 25 A 36 MESES</v>
      </c>
      <c r="AA8" s="1" t="str">
        <f>Tabela1563789101112131415[[#This Row],[Tipo]]</f>
        <v>VACA REFUGO</v>
      </c>
      <c r="AB8" s="1">
        <f>IFERROR(VLOOKUP($D8,CHOOSE({1,2},'Status Animal'!$B$3:$B$100000,'Status Animal'!$A$3:$A$100000),2,0),"")</f>
        <v>2</v>
      </c>
      <c r="AC8" s="1">
        <f>IFERROR(VLOOKUP($E8,CHOOSE({1,2},'Propriedades Rurais'!$B$3:$B$100000,'Propriedades Rurais'!$A$3:$A$100000),2,0),"")</f>
        <v>2</v>
      </c>
      <c r="AD8" s="1">
        <f>IFERROR(VLOOKUP($F8,CHOOSE({1,2},Pastos!$B$3:$B$100000,Pastos!$A$3:$A$100000),2,0),"")</f>
        <v>2</v>
      </c>
      <c r="AE8" s="1">
        <f>IFERROR(VLOOKUP($G8,CHOOSE({1,2},'Tipo Animal'!$B$3:$B$10000,'Tipo Animal'!$A$3:$A$10000),2,0),"")</f>
        <v>18</v>
      </c>
      <c r="AF8" s="1">
        <f>IFERROR(VLOOKUP($I8,CHOOSE({1,2},Raça!$B$3:$B$100000,Raça!$A$3:$A$100000),2,0),"")</f>
        <v>6</v>
      </c>
      <c r="AG8" s="1">
        <f>IFERROR(VLOOKUP($J8,CHOOSE({1,2},Origem!$B$3:$B$100000,Origem!$A$3:$A$100000),2,0),"")</f>
        <v>4</v>
      </c>
      <c r="AH8" s="1">
        <f>IFERROR(VLOOKUP($T8,CHOOSE({1,2},'Causa Da Morte'!$B$3:$B$100000,'Causa Da Morte'!$A$3:$A$100000),2,0),"")</f>
        <v>1</v>
      </c>
    </row>
    <row r="9" spans="1:34" x14ac:dyDescent="0.25">
      <c r="A9" s="12">
        <v>24</v>
      </c>
      <c r="B9" s="12" t="s">
        <v>364</v>
      </c>
      <c r="C9" s="10" t="s">
        <v>279</v>
      </c>
      <c r="D9" s="10" t="s">
        <v>196</v>
      </c>
      <c r="E9" s="10" t="s">
        <v>66</v>
      </c>
      <c r="F9" s="10" t="s">
        <v>67</v>
      </c>
      <c r="G9" s="10" t="s">
        <v>195</v>
      </c>
      <c r="H9" s="1" t="s">
        <v>186</v>
      </c>
      <c r="I9" s="1" t="s">
        <v>60</v>
      </c>
      <c r="J9" s="1" t="s">
        <v>145</v>
      </c>
      <c r="K9" s="1" t="str">
        <f ca="1">IFERROR(IF(Tabela1563789101112131415[[#This Row],[Data Nascimento]]=0,"",ROUNDDOWN(SUM((TODAY()-Tabela1563789101112131415[[#This Row],[Data Nascimento]])/30),0)),"")&amp;" M "</f>
        <v xml:space="preserve">39 M </v>
      </c>
      <c r="L9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NOVILHA + 36 MESES</v>
      </c>
      <c r="M9" s="13">
        <v>44927</v>
      </c>
      <c r="N9" s="13">
        <v>44197</v>
      </c>
      <c r="O9" s="13">
        <v>44197</v>
      </c>
      <c r="P9" s="11">
        <v>300</v>
      </c>
      <c r="Q9" s="28"/>
      <c r="R9" s="28"/>
      <c r="S9" s="28"/>
      <c r="U9" s="13"/>
      <c r="V9" s="28"/>
      <c r="W9" s="1" t="str">
        <f>IFERROR(IF(Tabela1563789101112131415[[#This Row],[Status]]="ATIVO",Tabela1563789101112131415[[#This Row],[Brinco]],""),"")</f>
        <v>B8</v>
      </c>
      <c r="X9" s="1" t="str">
        <f>Tabela1563789101112131415[[#This Row],[Brinco]]&amp;" - "&amp;Tabela1563789101112131415[[#This Row],[Sitio]]</f>
        <v>B8 - MARAVILHA</v>
      </c>
      <c r="Y9" s="14">
        <f>Tabela1563789101112131415[[#This Row],[ID]]</f>
        <v>24</v>
      </c>
      <c r="Z9" s="15" t="str">
        <f ca="1">Tabela1563789101112131415[[#This Row],[Categoria]]</f>
        <v>NOVILHA + 36 MESES</v>
      </c>
      <c r="AA9" s="1" t="str">
        <f>Tabela1563789101112131415[[#This Row],[Tipo]]</f>
        <v>NOVILHA</v>
      </c>
      <c r="AB9" s="1">
        <f>IFERROR(VLOOKUP($D9,CHOOSE({1,2},'Status Animal'!$B$3:$B$100000,'Status Animal'!$A$3:$A$100000),2,0),"")</f>
        <v>1</v>
      </c>
      <c r="AC9" s="1">
        <f>IFERROR(VLOOKUP($E9,CHOOSE({1,2},'Propriedades Rurais'!$B$3:$B$100000,'Propriedades Rurais'!$A$3:$A$100000),2,0),"")</f>
        <v>2</v>
      </c>
      <c r="AD9" s="1">
        <f>IFERROR(VLOOKUP($F9,CHOOSE({1,2},Pastos!$B$3:$B$100000,Pastos!$A$3:$A$100000),2,0),"")</f>
        <v>1</v>
      </c>
      <c r="AE9" s="1">
        <f>IFERROR(VLOOKUP($G9,CHOOSE({1,2},'Tipo Animal'!$B$3:$B$10000,'Tipo Animal'!$A$3:$A$10000),2,0),"")</f>
        <v>8</v>
      </c>
      <c r="AF9" s="1">
        <f>IFERROR(VLOOKUP($I9,CHOOSE({1,2},Raça!$B$3:$B$100000,Raça!$A$3:$A$100000),2,0),"")</f>
        <v>4</v>
      </c>
      <c r="AG9" s="1">
        <f>IFERROR(VLOOKUP($J9,CHOOSE({1,2},Origem!$B$3:$B$100000,Origem!$A$3:$A$100000),2,0),"")</f>
        <v>4</v>
      </c>
      <c r="AH9" s="1">
        <f>IFERROR(VLOOKUP($T9,CHOOSE({1,2},'Causa Da Morte'!$B$3:$B$100000,'Causa Da Morte'!$A$3:$A$100000),2,0),"")</f>
        <v>0</v>
      </c>
    </row>
    <row r="10" spans="1:34" x14ac:dyDescent="0.25">
      <c r="A10" s="12">
        <v>25</v>
      </c>
      <c r="B10" s="12" t="s">
        <v>366</v>
      </c>
      <c r="C10" s="10" t="s">
        <v>279</v>
      </c>
      <c r="D10" s="10" t="s">
        <v>196</v>
      </c>
      <c r="E10" s="10" t="s">
        <v>65</v>
      </c>
      <c r="F10" s="10" t="s">
        <v>68</v>
      </c>
      <c r="G10" s="10" t="s">
        <v>193</v>
      </c>
      <c r="H10" s="1" t="s">
        <v>367</v>
      </c>
      <c r="I10" s="1" t="s">
        <v>59</v>
      </c>
      <c r="J10" s="1" t="s">
        <v>143</v>
      </c>
      <c r="K10" s="1" t="str">
        <f ca="1">IFERROR(IF(Tabela1563789101112131415[[#This Row],[Data Nascimento]]=0,"",ROUNDDOWN(SUM((TODAY()-Tabela1563789101112131415[[#This Row],[Data Nascimento]])/30),0)),"")&amp;" M "</f>
        <v xml:space="preserve">26 M </v>
      </c>
      <c r="L10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BEZERRO DESMAMADO 5 A 12 MESES</v>
      </c>
      <c r="M10" s="13"/>
      <c r="N10" s="13"/>
      <c r="O10" s="13">
        <v>44562</v>
      </c>
      <c r="P10" s="11">
        <v>700</v>
      </c>
      <c r="Q10" s="28"/>
      <c r="R10" s="28"/>
      <c r="S10" s="28"/>
      <c r="U10" s="13"/>
      <c r="V10" s="28"/>
      <c r="W10" s="1" t="str">
        <f>IFERROR(IF(Tabela1563789101112131415[[#This Row],[Status]]="ATIVO",Tabela1563789101112131415[[#This Row],[Brinco]],""),"")</f>
        <v>B10</v>
      </c>
      <c r="X10" s="1" t="str">
        <f>Tabela1563789101112131415[[#This Row],[Brinco]]&amp;" - "&amp;Tabela1563789101112131415[[#This Row],[Sitio]]</f>
        <v>B10 - SÃO SEBASTIÃOZINHO</v>
      </c>
      <c r="Y10" s="14">
        <f>Tabela1563789101112131415[[#This Row],[ID]]</f>
        <v>25</v>
      </c>
      <c r="Z10" s="15" t="str">
        <f ca="1">Tabela1563789101112131415[[#This Row],[Categoria]]</f>
        <v>BEZERRO DESMAMADO 5 A 12 MESES</v>
      </c>
      <c r="AA10" s="1" t="str">
        <f>Tabela1563789101112131415[[#This Row],[Tipo]]</f>
        <v>BEZERRO DESMAMADO</v>
      </c>
      <c r="AB10" s="1">
        <f>IFERROR(VLOOKUP($D10,CHOOSE({1,2},'Status Animal'!$B$3:$B$100000,'Status Animal'!$A$3:$A$100000),2,0),"")</f>
        <v>1</v>
      </c>
      <c r="AC10" s="1">
        <f>IFERROR(VLOOKUP($E10,CHOOSE({1,2},'Propriedades Rurais'!$B$3:$B$100000,'Propriedades Rurais'!$A$3:$A$100000),2,0),"")</f>
        <v>1</v>
      </c>
      <c r="AD10" s="1">
        <f>IFERROR(VLOOKUP($F10,CHOOSE({1,2},Pastos!$B$3:$B$100000,Pastos!$A$3:$A$100000),2,0),"")</f>
        <v>2</v>
      </c>
      <c r="AE10" s="1">
        <f>IFERROR(VLOOKUP($G10,CHOOSE({1,2},'Tipo Animal'!$B$3:$B$10000,'Tipo Animal'!$A$3:$A$10000),2,0),"")</f>
        <v>6</v>
      </c>
      <c r="AF10" s="1">
        <f>IFERROR(VLOOKUP($I10,CHOOSE({1,2},Raça!$B$3:$B$100000,Raça!$A$3:$A$100000),2,0),"")</f>
        <v>3</v>
      </c>
      <c r="AG10" s="1">
        <f>IFERROR(VLOOKUP($J10,CHOOSE({1,2},Origem!$B$3:$B$100000,Origem!$A$3:$A$100000),2,0),"")</f>
        <v>2</v>
      </c>
      <c r="AH10" s="1">
        <f>IFERROR(VLOOKUP($T10,CHOOSE({1,2},'Causa Da Morte'!$B$3:$B$100000,'Causa Da Morte'!$A$3:$A$100000),2,0),"")</f>
        <v>0</v>
      </c>
    </row>
    <row r="11" spans="1:34" x14ac:dyDescent="0.25">
      <c r="A11" s="12">
        <v>26</v>
      </c>
      <c r="B11" s="12" t="s">
        <v>368</v>
      </c>
      <c r="C11" s="10" t="s">
        <v>279</v>
      </c>
      <c r="D11" s="10" t="s">
        <v>196</v>
      </c>
      <c r="E11" s="10" t="s">
        <v>65</v>
      </c>
      <c r="F11" s="10" t="s">
        <v>68</v>
      </c>
      <c r="G11" s="10" t="s">
        <v>191</v>
      </c>
      <c r="H11" s="1" t="s">
        <v>186</v>
      </c>
      <c r="I11" s="1" t="s">
        <v>60</v>
      </c>
      <c r="J11" s="1" t="s">
        <v>143</v>
      </c>
      <c r="K11" s="1" t="str">
        <f ca="1">IFERROR(IF(Tabela1563789101112131415[[#This Row],[Data Nascimento]]=0,"",ROUNDDOWN(SUM((TODAY()-Tabela1563789101112131415[[#This Row],[Data Nascimento]])/30),0)),"")&amp;" M "</f>
        <v xml:space="preserve">14 M </v>
      </c>
      <c r="L11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BEZERRA 13 A 24 MESES</v>
      </c>
      <c r="M11" s="13"/>
      <c r="N11" s="13"/>
      <c r="O11" s="13">
        <v>44927</v>
      </c>
      <c r="P11" s="11">
        <v>0</v>
      </c>
      <c r="Q11" s="28"/>
      <c r="R11" s="28"/>
      <c r="S11" s="28"/>
      <c r="U11" s="13"/>
      <c r="V11" s="28"/>
      <c r="W11" s="1" t="str">
        <f>IFERROR(IF(Tabela1563789101112131415[[#This Row],[Status]]="ATIVO",Tabela1563789101112131415[[#This Row],[Brinco]],""),"")</f>
        <v>B15</v>
      </c>
      <c r="X11" s="1" t="str">
        <f>Tabela1563789101112131415[[#This Row],[Brinco]]&amp;" - "&amp;Tabela1563789101112131415[[#This Row],[Sitio]]</f>
        <v>B15 - SÃO SEBASTIÃOZINHO</v>
      </c>
      <c r="Y11" s="14">
        <f>Tabela1563789101112131415[[#This Row],[ID]]</f>
        <v>26</v>
      </c>
      <c r="Z11" s="15" t="str">
        <f ca="1">Tabela1563789101112131415[[#This Row],[Categoria]]</f>
        <v>BEZERRA 13 A 24 MESES</v>
      </c>
      <c r="AA11" s="1" t="str">
        <f>Tabela1563789101112131415[[#This Row],[Tipo]]</f>
        <v>BEZERRA</v>
      </c>
      <c r="AB11" s="1">
        <f>IFERROR(VLOOKUP($D11,CHOOSE({1,2},'Status Animal'!$B$3:$B$100000,'Status Animal'!$A$3:$A$100000),2,0),"")</f>
        <v>1</v>
      </c>
      <c r="AC11" s="1">
        <f>IFERROR(VLOOKUP($E11,CHOOSE({1,2},'Propriedades Rurais'!$B$3:$B$100000,'Propriedades Rurais'!$A$3:$A$100000),2,0),"")</f>
        <v>1</v>
      </c>
      <c r="AD11" s="1">
        <f>IFERROR(VLOOKUP($F11,CHOOSE({1,2},Pastos!$B$3:$B$100000,Pastos!$A$3:$A$100000),2,0),"")</f>
        <v>2</v>
      </c>
      <c r="AE11" s="1">
        <f>IFERROR(VLOOKUP($G11,CHOOSE({1,2},'Tipo Animal'!$B$3:$B$10000,'Tipo Animal'!$A$3:$A$10000),2,0),"")</f>
        <v>3</v>
      </c>
      <c r="AF11" s="1">
        <f>IFERROR(VLOOKUP($I11,CHOOSE({1,2},Raça!$B$3:$B$100000,Raça!$A$3:$A$100000),2,0),"")</f>
        <v>4</v>
      </c>
      <c r="AG11" s="1">
        <f>IFERROR(VLOOKUP($J11,CHOOSE({1,2},Origem!$B$3:$B$100000,Origem!$A$3:$A$100000),2,0),"")</f>
        <v>2</v>
      </c>
      <c r="AH11" s="1">
        <f>IFERROR(VLOOKUP($T11,CHOOSE({1,2},'Causa Da Morte'!$B$3:$B$100000,'Causa Da Morte'!$A$3:$A$100000),2,0),"")</f>
        <v>0</v>
      </c>
    </row>
    <row r="12" spans="1:34" x14ac:dyDescent="0.25">
      <c r="A12" s="12">
        <v>27</v>
      </c>
      <c r="B12" s="12" t="s">
        <v>361</v>
      </c>
      <c r="C12" s="10" t="s">
        <v>279</v>
      </c>
      <c r="D12" s="10" t="s">
        <v>196</v>
      </c>
      <c r="E12" s="10"/>
      <c r="F12" s="10"/>
      <c r="G12" s="10"/>
      <c r="K12" s="1" t="str">
        <f ca="1">IFERROR(IF(Tabela1563789101112131415[[#This Row],[Data Nascimento]]=0,"",ROUNDDOWN(SUM((TODAY()-Tabela1563789101112131415[[#This Row],[Data Nascimento]])/30),0)),"")&amp;" M "</f>
        <v xml:space="preserve"> M </v>
      </c>
      <c r="L12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/>
      </c>
      <c r="M12" s="13"/>
      <c r="N12" s="13"/>
      <c r="O12" s="13"/>
      <c r="P12" s="11">
        <v>0</v>
      </c>
      <c r="Q12" s="28"/>
      <c r="R12" s="28"/>
      <c r="S12" s="28"/>
      <c r="U12" s="13"/>
      <c r="V12" s="28" t="s">
        <v>478</v>
      </c>
      <c r="W12" s="1" t="str">
        <f>IFERROR(IF(Tabela1563789101112131415[[#This Row],[Status]]="ATIVO",Tabela1563789101112131415[[#This Row],[Brinco]],""),"")</f>
        <v>B5</v>
      </c>
      <c r="X12" s="1" t="str">
        <f>Tabela1563789101112131415[[#This Row],[Brinco]]&amp;" - "&amp;Tabela1563789101112131415[[#This Row],[Sitio]]</f>
        <v xml:space="preserve">B5 - </v>
      </c>
      <c r="Y12" s="14">
        <f>Tabela1563789101112131415[[#This Row],[ID]]</f>
        <v>27</v>
      </c>
      <c r="Z12" s="15" t="str">
        <f ca="1">Tabela1563789101112131415[[#This Row],[Categoria]]</f>
        <v/>
      </c>
      <c r="AA12" s="1">
        <f>Tabela1563789101112131415[[#This Row],[Tipo]]</f>
        <v>0</v>
      </c>
      <c r="AB12" s="1">
        <f>IFERROR(VLOOKUP($D12,CHOOSE({1,2},'Status Animal'!$B$3:$B$100000,'Status Animal'!$A$3:$A$100000),2,0),"")</f>
        <v>1</v>
      </c>
      <c r="AC12" s="1">
        <f>IFERROR(VLOOKUP($E12,CHOOSE({1,2},'Propriedades Rurais'!$B$3:$B$100000,'Propriedades Rurais'!$A$3:$A$100000),2,0),"")</f>
        <v>0</v>
      </c>
      <c r="AD12" s="1">
        <f>IFERROR(VLOOKUP($F12,CHOOSE({1,2},Pastos!$B$3:$B$100000,Pastos!$A$3:$A$100000),2,0),"")</f>
        <v>0</v>
      </c>
      <c r="AE12" s="1">
        <f>IFERROR(VLOOKUP($G12,CHOOSE({1,2},'Tipo Animal'!$B$3:$B$10000,'Tipo Animal'!$A$3:$A$10000),2,0),"")</f>
        <v>0</v>
      </c>
      <c r="AF12" s="1">
        <f>IFERROR(VLOOKUP($I12,CHOOSE({1,2},Raça!$B$3:$B$100000,Raça!$A$3:$A$100000),2,0),"")</f>
        <v>0</v>
      </c>
      <c r="AG12" s="1">
        <f>IFERROR(VLOOKUP($J12,CHOOSE({1,2},Origem!$B$3:$B$100000,Origem!$A$3:$A$100000),2,0),"")</f>
        <v>0</v>
      </c>
      <c r="AH12" s="1">
        <f>IFERROR(VLOOKUP($T12,CHOOSE({1,2},'Causa Da Morte'!$B$3:$B$100000,'Causa Da Morte'!$A$3:$A$100000),2,0),"")</f>
        <v>0</v>
      </c>
    </row>
    <row r="13" spans="1:34" x14ac:dyDescent="0.25">
      <c r="A13" s="12">
        <v>28</v>
      </c>
      <c r="B13" s="12"/>
      <c r="C13" s="10" t="s">
        <v>279</v>
      </c>
      <c r="D13" s="10" t="s">
        <v>196</v>
      </c>
      <c r="E13" s="10" t="s">
        <v>66</v>
      </c>
      <c r="F13" s="10"/>
      <c r="G13" s="10"/>
      <c r="K13" s="1" t="str">
        <f ca="1">IFERROR(IF(Tabela1563789101112131415[[#This Row],[Data Nascimento]]=0,"",ROUNDDOWN(SUM((TODAY()-Tabela1563789101112131415[[#This Row],[Data Nascimento]])/30),0)),"")&amp;" M "</f>
        <v xml:space="preserve"> M </v>
      </c>
      <c r="L13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/>
      </c>
      <c r="M13" s="13"/>
      <c r="N13" s="13"/>
      <c r="O13" s="13"/>
      <c r="P13" s="11">
        <v>0</v>
      </c>
      <c r="Q13" s="28"/>
      <c r="R13" s="28"/>
      <c r="S13" s="28"/>
      <c r="U13" s="13"/>
      <c r="V13" s="28"/>
      <c r="W13" s="1">
        <f>IFERROR(IF(Tabela1563789101112131415[[#This Row],[Status]]="ATIVO",Tabela1563789101112131415[[#This Row],[Brinco]],""),"")</f>
        <v>0</v>
      </c>
      <c r="X13" s="1" t="str">
        <f>Tabela1563789101112131415[[#This Row],[Brinco]]&amp;" - "&amp;Tabela1563789101112131415[[#This Row],[Sitio]]</f>
        <v xml:space="preserve"> - MARAVILHA</v>
      </c>
      <c r="Y13" s="14">
        <f>Tabela1563789101112131415[[#This Row],[ID]]</f>
        <v>28</v>
      </c>
      <c r="Z13" s="15" t="str">
        <f ca="1">Tabela1563789101112131415[[#This Row],[Categoria]]</f>
        <v/>
      </c>
      <c r="AA13" s="1">
        <f>Tabela1563789101112131415[[#This Row],[Tipo]]</f>
        <v>0</v>
      </c>
      <c r="AB13" s="1">
        <f>IFERROR(VLOOKUP($D13,CHOOSE({1,2},'Status Animal'!$B$3:$B$100000,'Status Animal'!$A$3:$A$100000),2,0),"")</f>
        <v>1</v>
      </c>
      <c r="AC13" s="1">
        <f>IFERROR(VLOOKUP($E13,CHOOSE({1,2},'Propriedades Rurais'!$B$3:$B$100000,'Propriedades Rurais'!$A$3:$A$100000),2,0),"")</f>
        <v>2</v>
      </c>
      <c r="AD13" s="1">
        <f>IFERROR(VLOOKUP($F13,CHOOSE({1,2},Pastos!$B$3:$B$100000,Pastos!$A$3:$A$100000),2,0),"")</f>
        <v>0</v>
      </c>
      <c r="AE13" s="1">
        <f>IFERROR(VLOOKUP($G13,CHOOSE({1,2},'Tipo Animal'!$B$3:$B$10000,'Tipo Animal'!$A$3:$A$10000),2,0),"")</f>
        <v>0</v>
      </c>
      <c r="AF13" s="1">
        <f>IFERROR(VLOOKUP($I13,CHOOSE({1,2},Raça!$B$3:$B$100000,Raça!$A$3:$A$100000),2,0),"")</f>
        <v>0</v>
      </c>
      <c r="AG13" s="1">
        <f>IFERROR(VLOOKUP($J13,CHOOSE({1,2},Origem!$B$3:$B$100000,Origem!$A$3:$A$100000),2,0),"")</f>
        <v>0</v>
      </c>
      <c r="AH13" s="1">
        <f>IFERROR(VLOOKUP($T13,CHOOSE({1,2},'Causa Da Morte'!$B$3:$B$100000,'Causa Da Morte'!$A$3:$A$100000),2,0),"")</f>
        <v>0</v>
      </c>
    </row>
    <row r="14" spans="1:34" x14ac:dyDescent="0.25">
      <c r="A14" s="12"/>
      <c r="B14" s="12"/>
      <c r="C14" s="10"/>
      <c r="D14" s="10"/>
      <c r="E14" s="10"/>
      <c r="F14" s="10"/>
      <c r="G14" s="10"/>
      <c r="M14" s="13"/>
      <c r="N14" s="13"/>
      <c r="O14" s="13"/>
      <c r="P14" s="11"/>
      <c r="Q14" s="13"/>
      <c r="R14" s="13"/>
      <c r="S14" s="13"/>
      <c r="T14" s="13"/>
      <c r="U14" s="13"/>
      <c r="V14" s="13"/>
      <c r="Y14" s="14"/>
      <c r="Z14" s="15"/>
    </row>
    <row r="15" spans="1:34" x14ac:dyDescent="0.25">
      <c r="A15" s="12"/>
      <c r="B15" s="12"/>
      <c r="C15" s="10"/>
      <c r="D15" s="10"/>
      <c r="E15" s="10"/>
      <c r="F15" s="10"/>
      <c r="G15" s="10"/>
      <c r="M15" s="13"/>
      <c r="N15" s="13"/>
      <c r="O15" s="13"/>
      <c r="P15" s="11"/>
      <c r="Q15" s="13"/>
      <c r="R15" s="13"/>
      <c r="S15" s="13"/>
      <c r="T15" s="13"/>
      <c r="U15" s="13"/>
      <c r="V15" s="13"/>
      <c r="Y15" s="14"/>
      <c r="Z15" s="15"/>
    </row>
    <row r="16" spans="1:34" x14ac:dyDescent="0.25">
      <c r="A16" s="12"/>
      <c r="B16" s="12"/>
      <c r="C16" s="10"/>
      <c r="D16" s="10"/>
      <c r="F16" s="10"/>
      <c r="G16" s="10"/>
      <c r="M16" s="13"/>
      <c r="N16" s="13"/>
      <c r="O16" s="13"/>
      <c r="P16" s="11"/>
      <c r="Q16" s="13"/>
      <c r="R16" s="13"/>
      <c r="S16" s="13"/>
      <c r="T16" s="13"/>
      <c r="U16" s="13"/>
      <c r="V16" s="13"/>
      <c r="Y16" s="14"/>
      <c r="Z16" s="15"/>
    </row>
    <row r="17" spans="1:26" x14ac:dyDescent="0.25">
      <c r="A17" s="12"/>
      <c r="B17" s="12"/>
      <c r="C17" s="10"/>
      <c r="D17" s="10"/>
      <c r="E17" s="10"/>
      <c r="F17" s="10"/>
      <c r="G17" s="10"/>
      <c r="M17" s="13"/>
      <c r="N17" s="13"/>
      <c r="O17" s="10"/>
      <c r="P17" s="11"/>
      <c r="Q17" s="13"/>
      <c r="R17" s="13"/>
      <c r="S17" s="13"/>
      <c r="T17" s="13"/>
      <c r="U17" s="13"/>
      <c r="V17" s="13" t="s">
        <v>475</v>
      </c>
      <c r="Y17" s="14"/>
      <c r="Z17" s="15"/>
    </row>
    <row r="18" spans="1:26" x14ac:dyDescent="0.25">
      <c r="A18" s="12"/>
      <c r="B18" s="12"/>
      <c r="C18" s="10"/>
      <c r="D18" s="10"/>
      <c r="E18" s="10"/>
      <c r="F18" s="10"/>
      <c r="G18" s="10"/>
      <c r="M18" s="13"/>
      <c r="N18" s="13"/>
      <c r="O18" s="13"/>
      <c r="P18" s="11"/>
      <c r="Q18" s="13"/>
      <c r="R18" s="13"/>
      <c r="S18" s="13"/>
      <c r="T18" s="13"/>
      <c r="U18" s="13"/>
      <c r="V18" s="13"/>
      <c r="Y18" s="14"/>
      <c r="Z18" s="15"/>
    </row>
    <row r="19" spans="1:26" x14ac:dyDescent="0.25">
      <c r="A19" s="12"/>
      <c r="B19" s="12"/>
      <c r="C19" s="10"/>
      <c r="D19" s="10"/>
      <c r="E19" s="10"/>
      <c r="F19" s="10"/>
      <c r="G19" s="10"/>
      <c r="M19" s="13"/>
      <c r="N19" s="13"/>
      <c r="O19" s="13"/>
      <c r="P19" s="11"/>
      <c r="Q19" s="13"/>
      <c r="R19" s="13"/>
      <c r="S19" s="13"/>
      <c r="T19" s="13"/>
      <c r="U19" s="13"/>
      <c r="V19" s="13"/>
      <c r="Y19" s="14"/>
      <c r="Z19" s="15"/>
    </row>
    <row r="20" spans="1:26" x14ac:dyDescent="0.25">
      <c r="A20" s="12"/>
      <c r="B20" s="12"/>
      <c r="C20" s="10"/>
      <c r="D20" s="10"/>
      <c r="E20" s="10"/>
      <c r="F20" s="10"/>
      <c r="G20" s="10"/>
      <c r="M20" s="13"/>
      <c r="N20" s="13"/>
      <c r="O20" s="13"/>
      <c r="P20" s="11"/>
      <c r="Q20" s="13"/>
      <c r="R20" s="13"/>
      <c r="S20" s="13"/>
      <c r="T20" s="13"/>
      <c r="U20" s="13"/>
      <c r="V20" s="13"/>
      <c r="Y20" s="14"/>
      <c r="Z20" s="15"/>
    </row>
    <row r="21" spans="1:26" x14ac:dyDescent="0.25">
      <c r="A21" s="12"/>
      <c r="B21" s="12"/>
      <c r="C21" s="10"/>
      <c r="D21" s="10"/>
      <c r="E21" s="10"/>
      <c r="F21" s="10"/>
      <c r="G21" s="10"/>
      <c r="M21" s="13"/>
      <c r="N21" s="13"/>
      <c r="O21" s="13"/>
      <c r="P21" s="11"/>
      <c r="Q21" s="13"/>
      <c r="R21" s="13"/>
      <c r="S21" s="13"/>
      <c r="T21" s="13"/>
      <c r="U21" s="13"/>
      <c r="V21" s="13"/>
      <c r="Y21" s="14"/>
      <c r="Z21" s="15"/>
    </row>
    <row r="22" spans="1:26" x14ac:dyDescent="0.25">
      <c r="A22" s="12"/>
      <c r="B22" s="12"/>
      <c r="C22" s="10"/>
      <c r="D22" s="10"/>
      <c r="E22" s="10"/>
      <c r="F22" s="10"/>
      <c r="G22" s="10"/>
      <c r="M22" s="13"/>
      <c r="N22" s="13"/>
      <c r="O22" s="13"/>
      <c r="P22" s="11"/>
      <c r="Q22" s="13"/>
      <c r="R22" s="13"/>
      <c r="S22" s="13"/>
      <c r="T22" s="13"/>
      <c r="U22" s="13"/>
      <c r="V22" s="13"/>
      <c r="Y22" s="14"/>
      <c r="Z22" s="15"/>
    </row>
    <row r="23" spans="1:26" x14ac:dyDescent="0.25">
      <c r="A23" s="12"/>
      <c r="B23" s="12"/>
      <c r="C23" s="10"/>
      <c r="D23" s="10"/>
      <c r="E23" s="10"/>
      <c r="F23" s="10"/>
      <c r="G23" s="10"/>
      <c r="M23" s="13"/>
      <c r="N23" s="13"/>
      <c r="O23" s="13"/>
      <c r="P23" s="11"/>
      <c r="Q23" s="13"/>
      <c r="R23" s="13"/>
      <c r="S23" s="13"/>
      <c r="T23" s="13"/>
      <c r="U23" s="13"/>
      <c r="V23" s="13"/>
      <c r="Y23" s="14"/>
      <c r="Z23" s="15"/>
    </row>
    <row r="24" spans="1:26" x14ac:dyDescent="0.25">
      <c r="A24" s="12"/>
      <c r="B24" s="12"/>
      <c r="C24" s="10"/>
      <c r="D24" s="10"/>
      <c r="E24" s="10"/>
      <c r="F24" s="10"/>
      <c r="G24" s="10"/>
      <c r="M24" s="13"/>
      <c r="N24" s="13"/>
      <c r="O24" s="13"/>
      <c r="P24" s="11"/>
      <c r="Q24" s="13"/>
      <c r="R24" s="13"/>
      <c r="S24" s="13"/>
      <c r="T24" s="13"/>
      <c r="U24" s="13"/>
      <c r="V24" s="13"/>
      <c r="Y24" s="14"/>
      <c r="Z24" s="15"/>
    </row>
    <row r="25" spans="1:26" x14ac:dyDescent="0.25">
      <c r="A25" s="12"/>
      <c r="B25" s="12"/>
      <c r="C25" s="10"/>
      <c r="D25" s="10"/>
      <c r="E25" s="10"/>
      <c r="F25" s="10"/>
      <c r="G25" s="10"/>
      <c r="M25" s="13"/>
      <c r="N25" s="13"/>
      <c r="O25" s="13"/>
      <c r="P25" s="11"/>
      <c r="Q25" s="13"/>
      <c r="R25" s="13"/>
      <c r="S25" s="13"/>
      <c r="T25" s="13"/>
      <c r="U25" s="13"/>
      <c r="V25" s="13"/>
      <c r="Y25" s="14"/>
      <c r="Z25" s="15"/>
    </row>
    <row r="26" spans="1:26" x14ac:dyDescent="0.25">
      <c r="A26" s="12"/>
      <c r="B26" s="12"/>
      <c r="C26" s="10"/>
      <c r="D26" s="10"/>
      <c r="E26" s="10"/>
      <c r="F26" s="10"/>
      <c r="G26" s="10"/>
      <c r="M26" s="13"/>
      <c r="N26" s="13"/>
      <c r="O26" s="13"/>
      <c r="P26" s="11"/>
      <c r="Q26" s="13"/>
      <c r="R26" s="13"/>
      <c r="S26" s="13"/>
      <c r="T26" s="13"/>
      <c r="U26" s="13"/>
      <c r="V26" s="13"/>
      <c r="Y26" s="14"/>
      <c r="Z26" s="15"/>
    </row>
    <row r="27" spans="1:26" x14ac:dyDescent="0.25">
      <c r="A27" s="12"/>
      <c r="B27" s="12"/>
      <c r="C27" s="10"/>
      <c r="D27" s="10"/>
      <c r="E27" s="10"/>
      <c r="F27" s="10"/>
      <c r="G27" s="10"/>
      <c r="M27" s="13"/>
      <c r="N27" s="13"/>
      <c r="O27" s="13"/>
      <c r="P27" s="11"/>
      <c r="Q27" s="13"/>
      <c r="R27" s="13"/>
      <c r="S27" s="13"/>
      <c r="T27" s="13"/>
      <c r="U27" s="13"/>
      <c r="V27" s="13"/>
      <c r="Y27" s="14"/>
      <c r="Z27" s="15"/>
    </row>
    <row r="28" spans="1:26" x14ac:dyDescent="0.25">
      <c r="A28" s="12"/>
      <c r="B28" s="12"/>
      <c r="C28" s="10"/>
      <c r="D28" s="10"/>
      <c r="E28" s="10"/>
      <c r="F28" s="10"/>
      <c r="G28" s="10"/>
      <c r="M28" s="13"/>
      <c r="N28" s="13"/>
      <c r="O28" s="13"/>
      <c r="P28" s="11"/>
      <c r="Q28" s="13"/>
      <c r="R28" s="13"/>
      <c r="S28" s="13"/>
      <c r="T28" s="13"/>
      <c r="U28" s="13"/>
      <c r="V28" s="13"/>
      <c r="Y28" s="14"/>
      <c r="Z28" s="15"/>
    </row>
    <row r="29" spans="1:26" x14ac:dyDescent="0.25">
      <c r="A29" s="12"/>
      <c r="B29" s="12"/>
      <c r="C29" s="10"/>
      <c r="D29" s="10"/>
      <c r="E29" s="10"/>
      <c r="F29" s="10"/>
      <c r="G29" s="10"/>
      <c r="M29" s="13"/>
      <c r="N29" s="13"/>
      <c r="O29" s="13"/>
      <c r="P29" s="11"/>
      <c r="Q29" s="13"/>
      <c r="R29" s="13"/>
      <c r="S29" s="13"/>
      <c r="T29" s="13"/>
      <c r="U29" s="13"/>
      <c r="V29" s="13"/>
      <c r="Y29" s="14"/>
      <c r="Z29" s="15"/>
    </row>
    <row r="30" spans="1:26" x14ac:dyDescent="0.25">
      <c r="A30" s="12"/>
      <c r="B30" s="12"/>
      <c r="C30" s="10"/>
      <c r="D30" s="10"/>
      <c r="E30" s="10"/>
      <c r="F30" s="10"/>
      <c r="G30" s="10"/>
      <c r="M30" s="13"/>
      <c r="N30" s="13"/>
      <c r="O30" s="13"/>
      <c r="P30" s="11"/>
      <c r="Q30" s="13"/>
      <c r="R30" s="13"/>
      <c r="S30" s="13"/>
      <c r="T30" s="13"/>
      <c r="U30" s="13"/>
      <c r="V30" s="13"/>
      <c r="Y30" s="14"/>
      <c r="Z30" s="15"/>
    </row>
    <row r="31" spans="1:26" x14ac:dyDescent="0.25">
      <c r="A31" s="12"/>
      <c r="B31" s="12"/>
      <c r="C31" s="10"/>
      <c r="D31" s="10"/>
      <c r="E31" s="10"/>
      <c r="F31" s="10"/>
      <c r="G31" s="10"/>
      <c r="M31" s="13"/>
      <c r="N31" s="13"/>
      <c r="O31" s="13"/>
      <c r="P31" s="11"/>
      <c r="Q31" s="13"/>
      <c r="R31" s="13"/>
      <c r="S31" s="13"/>
      <c r="T31" s="13"/>
      <c r="U31" s="13"/>
      <c r="V31" s="13"/>
      <c r="Y31" s="14"/>
      <c r="Z31" s="15"/>
    </row>
    <row r="32" spans="1:26" x14ac:dyDescent="0.25">
      <c r="A32" s="12"/>
      <c r="B32" s="12"/>
      <c r="C32" s="10"/>
      <c r="D32" s="10"/>
      <c r="E32" s="10"/>
      <c r="F32" s="10"/>
      <c r="G32" s="10"/>
      <c r="M32" s="13"/>
      <c r="N32" s="13"/>
      <c r="O32" s="13"/>
      <c r="P32" s="11"/>
      <c r="Q32" s="13"/>
      <c r="R32" s="13"/>
      <c r="S32" s="13"/>
      <c r="T32" s="13"/>
      <c r="U32" s="13"/>
      <c r="V32" s="13"/>
      <c r="Y32" s="14"/>
      <c r="Z32" s="15"/>
    </row>
    <row r="33" spans="1:26" x14ac:dyDescent="0.25">
      <c r="A33" s="12"/>
      <c r="B33" s="12"/>
      <c r="C33" s="10"/>
      <c r="D33" s="10"/>
      <c r="E33" s="10"/>
      <c r="F33" s="10"/>
      <c r="G33" s="10"/>
      <c r="M33" s="13"/>
      <c r="N33" s="13"/>
      <c r="O33" s="13"/>
      <c r="P33" s="11"/>
      <c r="Q33" s="13"/>
      <c r="R33" s="13"/>
      <c r="S33" s="13"/>
      <c r="T33" s="13"/>
      <c r="U33" s="13"/>
      <c r="V33" s="13"/>
      <c r="Y33" s="14"/>
      <c r="Z33" s="15"/>
    </row>
    <row r="34" spans="1:26" x14ac:dyDescent="0.25">
      <c r="A34" s="12"/>
      <c r="B34" s="12"/>
      <c r="C34" s="10"/>
      <c r="D34" s="10"/>
      <c r="E34" s="10"/>
      <c r="F34" s="10"/>
      <c r="G34" s="10"/>
      <c r="M34" s="13"/>
      <c r="N34" s="13"/>
      <c r="O34" s="13"/>
      <c r="P34" s="11"/>
      <c r="Q34" s="13"/>
      <c r="R34" s="13"/>
      <c r="S34" s="13"/>
      <c r="T34" s="13"/>
      <c r="U34" s="13"/>
      <c r="V34" s="13"/>
      <c r="Y34" s="14"/>
      <c r="Z34" s="15"/>
    </row>
    <row r="35" spans="1:26" x14ac:dyDescent="0.25">
      <c r="A35" s="12"/>
      <c r="B35" s="12"/>
      <c r="C35" s="10"/>
      <c r="D35" s="10"/>
      <c r="E35" s="10"/>
      <c r="F35" s="10"/>
      <c r="G35" s="10"/>
      <c r="M35" s="13"/>
      <c r="N35" s="13"/>
      <c r="O35" s="13"/>
      <c r="P35" s="11"/>
      <c r="Q35" s="13"/>
      <c r="R35" s="13"/>
      <c r="S35" s="13"/>
      <c r="T35" s="13"/>
      <c r="U35" s="13"/>
      <c r="V35" s="13"/>
      <c r="Y35" s="14"/>
      <c r="Z35" s="15"/>
    </row>
    <row r="36" spans="1:26" x14ac:dyDescent="0.25">
      <c r="A36" s="12"/>
      <c r="B36" s="12"/>
      <c r="C36" s="10"/>
      <c r="D36" s="10"/>
      <c r="E36" s="10"/>
      <c r="F36" s="10"/>
      <c r="G36" s="10"/>
      <c r="M36" s="13"/>
      <c r="N36" s="13"/>
      <c r="O36" s="13"/>
      <c r="P36" s="11"/>
      <c r="Q36" s="13"/>
      <c r="R36" s="13"/>
      <c r="S36" s="13"/>
      <c r="T36" s="13"/>
      <c r="U36" s="13"/>
      <c r="V36" s="13"/>
      <c r="Y36" s="14"/>
      <c r="Z36" s="15"/>
    </row>
    <row r="37" spans="1:26" x14ac:dyDescent="0.25">
      <c r="A37" s="12"/>
      <c r="B37" s="12"/>
      <c r="C37" s="10"/>
      <c r="D37" s="10"/>
      <c r="E37" s="10"/>
      <c r="F37" s="10"/>
      <c r="G37" s="10"/>
      <c r="M37" s="13"/>
      <c r="N37" s="13"/>
      <c r="O37" s="13"/>
      <c r="P37" s="11"/>
      <c r="Q37" s="13"/>
      <c r="R37" s="13"/>
      <c r="S37" s="13"/>
      <c r="T37" s="13"/>
      <c r="U37" s="13"/>
      <c r="V37" s="13"/>
      <c r="Y37" s="14"/>
      <c r="Z37" s="15"/>
    </row>
    <row r="38" spans="1:26" x14ac:dyDescent="0.25">
      <c r="A38" s="12"/>
      <c r="B38" s="12"/>
      <c r="C38" s="10"/>
      <c r="D38" s="10"/>
      <c r="E38" s="10"/>
      <c r="F38" s="10"/>
      <c r="G38" s="10"/>
      <c r="M38" s="13"/>
      <c r="N38" s="13"/>
      <c r="O38" s="13"/>
      <c r="P38" s="11"/>
      <c r="Q38" s="13"/>
      <c r="R38" s="13"/>
      <c r="S38" s="13"/>
      <c r="T38" s="13"/>
      <c r="U38" s="13"/>
      <c r="V38" s="13"/>
      <c r="Y38" s="14"/>
      <c r="Z38" s="15"/>
    </row>
    <row r="39" spans="1:26" x14ac:dyDescent="0.25">
      <c r="A39" s="12"/>
      <c r="B39" s="12"/>
      <c r="C39" s="10"/>
      <c r="D39" s="10"/>
      <c r="E39" s="10"/>
      <c r="F39" s="10"/>
      <c r="G39" s="10"/>
      <c r="M39" s="13"/>
      <c r="N39" s="13"/>
      <c r="O39" s="13"/>
      <c r="P39" s="11"/>
      <c r="Q39" s="13"/>
      <c r="R39" s="13"/>
      <c r="S39" s="13"/>
      <c r="T39" s="13"/>
      <c r="U39" s="13"/>
      <c r="V39" s="13"/>
      <c r="Y39" s="14"/>
      <c r="Z39" s="15"/>
    </row>
    <row r="40" spans="1:26" x14ac:dyDescent="0.25">
      <c r="A40" s="12"/>
      <c r="B40" s="12"/>
      <c r="C40" s="10"/>
      <c r="D40" s="10"/>
      <c r="E40" s="10"/>
      <c r="F40" s="10"/>
      <c r="G40" s="10"/>
      <c r="M40" s="13"/>
      <c r="N40" s="13"/>
      <c r="O40" s="13"/>
      <c r="P40" s="11"/>
      <c r="Q40" s="13"/>
      <c r="R40" s="13"/>
      <c r="S40" s="13"/>
      <c r="T40" s="13"/>
      <c r="U40" s="13"/>
      <c r="V40" s="13"/>
      <c r="Y40" s="14"/>
      <c r="Z40" s="15"/>
    </row>
    <row r="41" spans="1:26" x14ac:dyDescent="0.25">
      <c r="A41" s="12"/>
      <c r="B41" s="12"/>
      <c r="C41" s="10"/>
      <c r="D41" s="10"/>
      <c r="E41" s="10"/>
      <c r="F41" s="10"/>
      <c r="G41" s="10"/>
      <c r="M41" s="13"/>
      <c r="N41" s="13"/>
      <c r="O41" s="13"/>
      <c r="P41" s="11"/>
      <c r="Q41" s="13"/>
      <c r="R41" s="13"/>
      <c r="S41" s="13"/>
      <c r="T41" s="13"/>
      <c r="U41" s="13"/>
      <c r="V41" s="13"/>
      <c r="Y41" s="14"/>
      <c r="Z41" s="15"/>
    </row>
    <row r="42" spans="1:26" x14ac:dyDescent="0.25">
      <c r="A42" s="12"/>
      <c r="B42" s="12"/>
      <c r="C42" s="10"/>
      <c r="D42" s="10"/>
      <c r="E42" s="10"/>
      <c r="F42" s="10"/>
      <c r="G42" s="10"/>
      <c r="M42" s="13"/>
      <c r="N42" s="13"/>
      <c r="O42" s="13"/>
      <c r="P42" s="11"/>
      <c r="Q42" s="13"/>
      <c r="R42" s="13"/>
      <c r="S42" s="13"/>
      <c r="T42" s="13"/>
      <c r="U42" s="13"/>
      <c r="V42" s="13"/>
      <c r="Y42" s="14"/>
      <c r="Z42" s="15"/>
    </row>
    <row r="43" spans="1:26" x14ac:dyDescent="0.25">
      <c r="A43" s="12"/>
      <c r="B43" s="12"/>
      <c r="C43" s="10"/>
      <c r="D43" s="10"/>
      <c r="E43" s="10"/>
      <c r="F43" s="10"/>
      <c r="G43" s="10"/>
      <c r="M43" s="13"/>
      <c r="N43" s="13"/>
      <c r="O43" s="13"/>
      <c r="P43" s="11"/>
      <c r="Q43" s="13"/>
      <c r="R43" s="13"/>
      <c r="S43" s="13"/>
      <c r="T43" s="13"/>
      <c r="U43" s="13"/>
      <c r="V43" s="13"/>
      <c r="Y43" s="14"/>
      <c r="Z43" s="15"/>
    </row>
    <row r="44" spans="1:26" x14ac:dyDescent="0.25">
      <c r="A44" s="12"/>
      <c r="B44" s="12"/>
      <c r="C44" s="10"/>
      <c r="D44" s="10"/>
      <c r="E44" s="10"/>
      <c r="F44" s="10"/>
      <c r="G44" s="10"/>
      <c r="M44" s="13"/>
      <c r="N44" s="13"/>
      <c r="O44" s="13"/>
      <c r="P44" s="11"/>
      <c r="Q44" s="13"/>
      <c r="R44" s="13"/>
      <c r="S44" s="13"/>
      <c r="T44" s="13"/>
      <c r="U44" s="13"/>
      <c r="V44" s="13"/>
      <c r="Y44" s="14"/>
      <c r="Z44" s="15"/>
    </row>
    <row r="45" spans="1:26" x14ac:dyDescent="0.25">
      <c r="A45" s="12"/>
      <c r="B45" s="12"/>
      <c r="C45" s="10"/>
      <c r="D45" s="10"/>
      <c r="E45" s="10"/>
      <c r="F45" s="10"/>
      <c r="G45" s="10"/>
      <c r="M45" s="13"/>
      <c r="N45" s="13"/>
      <c r="O45" s="13"/>
      <c r="P45" s="11"/>
      <c r="Q45" s="13"/>
      <c r="R45" s="13"/>
      <c r="S45" s="13"/>
      <c r="T45" s="13"/>
      <c r="U45" s="13"/>
      <c r="V45" s="13"/>
      <c r="Y45" s="14"/>
      <c r="Z45" s="15"/>
    </row>
    <row r="46" spans="1:26" x14ac:dyDescent="0.25">
      <c r="A46" s="12"/>
      <c r="B46" s="12"/>
      <c r="C46" s="10"/>
      <c r="D46" s="10"/>
      <c r="E46" s="10"/>
      <c r="F46" s="10"/>
      <c r="G46" s="10"/>
      <c r="M46" s="13"/>
      <c r="N46" s="13"/>
      <c r="O46" s="13"/>
      <c r="P46" s="11"/>
      <c r="Q46" s="13"/>
      <c r="R46" s="13"/>
      <c r="S46" s="13"/>
      <c r="T46" s="13"/>
      <c r="U46" s="13"/>
      <c r="V46" s="13"/>
      <c r="Y46" s="14"/>
      <c r="Z46" s="15"/>
    </row>
    <row r="47" spans="1:26" x14ac:dyDescent="0.25">
      <c r="A47" s="12"/>
      <c r="B47" s="12"/>
      <c r="C47" s="10"/>
      <c r="D47" s="10"/>
      <c r="E47" s="10"/>
      <c r="F47" s="10"/>
      <c r="G47" s="10"/>
      <c r="M47" s="13"/>
      <c r="N47" s="13"/>
      <c r="O47" s="13"/>
      <c r="P47" s="11"/>
      <c r="Q47" s="13"/>
      <c r="R47" s="13"/>
      <c r="S47" s="13"/>
      <c r="T47" s="13"/>
      <c r="U47" s="13"/>
      <c r="V47" s="13"/>
      <c r="Y47" s="14"/>
      <c r="Z47" s="15"/>
    </row>
    <row r="48" spans="1:26" x14ac:dyDescent="0.25">
      <c r="A48" s="12"/>
      <c r="B48" s="12"/>
      <c r="C48" s="10"/>
      <c r="D48" s="10"/>
      <c r="E48" s="10"/>
      <c r="F48" s="10"/>
      <c r="G48" s="10"/>
      <c r="M48" s="13"/>
      <c r="N48" s="13"/>
      <c r="O48" s="13"/>
      <c r="P48" s="11"/>
      <c r="Q48" s="13"/>
      <c r="R48" s="13"/>
      <c r="S48" s="13"/>
      <c r="T48" s="13"/>
      <c r="U48" s="13"/>
      <c r="V48" s="13"/>
      <c r="Y48" s="14"/>
      <c r="Z48" s="15"/>
    </row>
    <row r="49" spans="1:26" x14ac:dyDescent="0.25">
      <c r="A49" s="12"/>
      <c r="B49" s="12"/>
      <c r="C49" s="10"/>
      <c r="D49" s="10"/>
      <c r="E49" s="10"/>
      <c r="F49" s="10"/>
      <c r="G49" s="10"/>
      <c r="M49" s="13"/>
      <c r="N49" s="13"/>
      <c r="O49" s="13"/>
      <c r="P49" s="11"/>
      <c r="Q49" s="13"/>
      <c r="R49" s="13"/>
      <c r="S49" s="13"/>
      <c r="T49" s="13"/>
      <c r="U49" s="13"/>
      <c r="V49" s="13"/>
      <c r="Y49" s="14"/>
      <c r="Z49" s="15"/>
    </row>
    <row r="50" spans="1:26" x14ac:dyDescent="0.25">
      <c r="A50" s="12"/>
      <c r="B50" s="12"/>
      <c r="C50" s="10"/>
      <c r="D50" s="10"/>
      <c r="E50" s="10"/>
      <c r="F50" s="10"/>
      <c r="G50" s="10"/>
      <c r="M50" s="13"/>
      <c r="N50" s="13"/>
      <c r="O50" s="13"/>
      <c r="P50" s="11"/>
      <c r="Q50" s="13"/>
      <c r="R50" s="13"/>
      <c r="S50" s="13"/>
      <c r="T50" s="13"/>
      <c r="U50" s="13"/>
      <c r="V50" s="13"/>
      <c r="Y50" s="14"/>
      <c r="Z50" s="15"/>
    </row>
    <row r="51" spans="1:26" x14ac:dyDescent="0.25">
      <c r="A51" s="12"/>
      <c r="B51" s="12"/>
      <c r="C51" s="10"/>
      <c r="D51" s="10"/>
      <c r="E51" s="10"/>
      <c r="F51" s="10"/>
      <c r="G51" s="10"/>
      <c r="M51" s="13"/>
      <c r="N51" s="13"/>
      <c r="O51" s="13"/>
      <c r="P51" s="11"/>
      <c r="Q51" s="13"/>
      <c r="R51" s="13"/>
      <c r="S51" s="13"/>
      <c r="T51" s="13"/>
      <c r="U51" s="13"/>
      <c r="V51" s="13"/>
      <c r="Y51" s="14"/>
      <c r="Z51" s="15"/>
    </row>
    <row r="52" spans="1:26" x14ac:dyDescent="0.25">
      <c r="A52" s="12"/>
      <c r="B52" s="12"/>
      <c r="C52" s="10"/>
      <c r="D52" s="10"/>
      <c r="E52" s="10"/>
      <c r="F52" s="10"/>
      <c r="G52" s="10"/>
      <c r="M52" s="13"/>
      <c r="N52" s="13"/>
      <c r="O52" s="13"/>
      <c r="P52" s="11"/>
      <c r="Q52" s="13"/>
      <c r="R52" s="13"/>
      <c r="S52" s="13"/>
      <c r="T52" s="13"/>
      <c r="U52" s="13"/>
      <c r="V52" s="13"/>
      <c r="Y52" s="14"/>
      <c r="Z52" s="15"/>
    </row>
    <row r="53" spans="1:26" x14ac:dyDescent="0.25">
      <c r="A53" s="12"/>
      <c r="B53" s="12"/>
      <c r="C53" s="10"/>
      <c r="D53" s="10"/>
      <c r="E53" s="10"/>
      <c r="F53" s="10"/>
      <c r="G53" s="10"/>
      <c r="M53" s="13"/>
      <c r="N53" s="13"/>
      <c r="O53" s="13"/>
      <c r="P53" s="11"/>
      <c r="Q53" s="13"/>
      <c r="R53" s="13"/>
      <c r="S53" s="13"/>
      <c r="T53" s="13"/>
      <c r="U53" s="13"/>
      <c r="V53" s="13"/>
      <c r="Y53" s="14"/>
      <c r="Z53" s="15"/>
    </row>
    <row r="54" spans="1:26" x14ac:dyDescent="0.25">
      <c r="A54" s="12"/>
      <c r="B54" s="12"/>
      <c r="C54" s="10"/>
      <c r="D54" s="10"/>
      <c r="E54" s="10"/>
      <c r="F54" s="10"/>
      <c r="G54" s="10"/>
      <c r="M54" s="13"/>
      <c r="N54" s="13"/>
      <c r="O54" s="13"/>
      <c r="P54" s="11"/>
      <c r="Q54" s="13"/>
      <c r="R54" s="13"/>
      <c r="S54" s="13"/>
      <c r="T54" s="13"/>
      <c r="U54" s="13"/>
      <c r="V54" s="13"/>
      <c r="Y54" s="14"/>
      <c r="Z54" s="15"/>
    </row>
    <row r="55" spans="1:26" x14ac:dyDescent="0.25">
      <c r="A55" s="12"/>
      <c r="B55" s="12"/>
      <c r="C55" s="10"/>
      <c r="D55" s="10"/>
      <c r="E55" s="10"/>
      <c r="F55" s="10"/>
      <c r="G55" s="10"/>
      <c r="M55" s="13"/>
      <c r="N55" s="13"/>
      <c r="O55" s="13"/>
      <c r="P55" s="11"/>
      <c r="Q55" s="13"/>
      <c r="R55" s="13"/>
      <c r="S55" s="13"/>
      <c r="T55" s="13"/>
      <c r="U55" s="13"/>
      <c r="V55" s="13"/>
      <c r="Y55" s="14"/>
      <c r="Z55" s="15"/>
    </row>
    <row r="56" spans="1:26" x14ac:dyDescent="0.25">
      <c r="A56" s="12"/>
      <c r="B56" s="12"/>
      <c r="C56" s="10"/>
      <c r="D56" s="10"/>
      <c r="E56" s="10"/>
      <c r="F56" s="10"/>
      <c r="G56" s="10"/>
      <c r="M56" s="13"/>
      <c r="N56" s="13"/>
      <c r="O56" s="13"/>
      <c r="P56" s="11"/>
      <c r="Q56" s="13"/>
      <c r="R56" s="13"/>
      <c r="S56" s="13"/>
      <c r="T56" s="13"/>
      <c r="U56" s="13"/>
      <c r="V56" s="13"/>
      <c r="Y56" s="14"/>
      <c r="Z56" s="15"/>
    </row>
    <row r="57" spans="1:26" x14ac:dyDescent="0.25">
      <c r="A57" s="12"/>
      <c r="B57" s="12"/>
      <c r="C57" s="10"/>
      <c r="D57" s="10"/>
      <c r="E57" s="10"/>
      <c r="F57" s="10"/>
      <c r="G57" s="10"/>
      <c r="M57" s="13"/>
      <c r="N57" s="13"/>
      <c r="O57" s="13"/>
      <c r="P57" s="11"/>
      <c r="Q57" s="13"/>
      <c r="R57" s="13"/>
      <c r="S57" s="13"/>
      <c r="T57" s="13"/>
      <c r="U57" s="13"/>
      <c r="V57" s="13"/>
      <c r="Y57" s="14"/>
      <c r="Z57" s="15"/>
    </row>
    <row r="58" spans="1:26" x14ac:dyDescent="0.25">
      <c r="A58" s="12"/>
      <c r="B58" s="12"/>
      <c r="C58" s="10"/>
      <c r="D58" s="10"/>
      <c r="E58" s="10"/>
      <c r="F58" s="10"/>
      <c r="G58" s="10"/>
      <c r="M58" s="13"/>
      <c r="N58" s="13"/>
      <c r="O58" s="13"/>
      <c r="P58" s="11"/>
      <c r="Q58" s="13"/>
      <c r="R58" s="13"/>
      <c r="S58" s="13"/>
      <c r="T58" s="13"/>
      <c r="U58" s="13"/>
      <c r="V58" s="13"/>
      <c r="Y58" s="14"/>
      <c r="Z58" s="15"/>
    </row>
    <row r="59" spans="1:26" x14ac:dyDescent="0.25">
      <c r="A59" s="12"/>
      <c r="B59" s="12"/>
      <c r="C59" s="10"/>
      <c r="D59" s="10"/>
      <c r="E59" s="10"/>
      <c r="F59" s="10"/>
      <c r="G59" s="10"/>
      <c r="M59" s="13"/>
      <c r="N59" s="13"/>
      <c r="O59" s="13"/>
      <c r="P59" s="11"/>
      <c r="Q59" s="13"/>
      <c r="R59" s="13"/>
      <c r="S59" s="13"/>
      <c r="T59" s="13"/>
      <c r="U59" s="13"/>
      <c r="V59" s="13"/>
      <c r="Y59" s="14"/>
      <c r="Z59" s="15"/>
    </row>
    <row r="60" spans="1:26" x14ac:dyDescent="0.25">
      <c r="A60" s="12"/>
      <c r="B60" s="12"/>
      <c r="C60" s="10"/>
      <c r="D60" s="10"/>
      <c r="E60" s="10"/>
      <c r="F60" s="10"/>
      <c r="G60" s="10"/>
      <c r="M60" s="13"/>
      <c r="N60" s="13"/>
      <c r="O60" s="13"/>
      <c r="P60" s="11"/>
      <c r="Q60" s="13"/>
      <c r="R60" s="13"/>
      <c r="S60" s="13"/>
      <c r="T60" s="13"/>
      <c r="U60" s="13"/>
      <c r="V60" s="13"/>
      <c r="Y60" s="14"/>
      <c r="Z60" s="15"/>
    </row>
    <row r="61" spans="1:26" x14ac:dyDescent="0.25">
      <c r="A61" s="12"/>
      <c r="B61" s="12"/>
      <c r="C61" s="10"/>
      <c r="D61" s="10"/>
      <c r="E61" s="10"/>
      <c r="F61" s="10"/>
      <c r="G61" s="10"/>
      <c r="M61" s="13"/>
      <c r="N61" s="13"/>
      <c r="O61" s="13"/>
      <c r="P61" s="11"/>
      <c r="Q61" s="13"/>
      <c r="R61" s="13"/>
      <c r="S61" s="13"/>
      <c r="T61" s="13"/>
      <c r="U61" s="13"/>
      <c r="V61" s="13"/>
      <c r="Y61" s="14"/>
      <c r="Z61" s="15"/>
    </row>
    <row r="62" spans="1:26" x14ac:dyDescent="0.25">
      <c r="A62" s="12"/>
      <c r="B62" s="12"/>
      <c r="C62" s="10"/>
      <c r="D62" s="10"/>
      <c r="E62" s="10"/>
      <c r="F62" s="10"/>
      <c r="G62" s="10"/>
      <c r="M62" s="13"/>
      <c r="N62" s="13"/>
      <c r="O62" s="13"/>
      <c r="P62" s="11"/>
      <c r="Q62" s="13"/>
      <c r="R62" s="13"/>
      <c r="S62" s="13"/>
      <c r="T62" s="13"/>
      <c r="U62" s="13"/>
      <c r="V62" s="13"/>
      <c r="Y62" s="14"/>
      <c r="Z62" s="15"/>
    </row>
    <row r="63" spans="1:26" x14ac:dyDescent="0.25">
      <c r="A63" s="12"/>
      <c r="B63" s="12"/>
      <c r="C63" s="10"/>
      <c r="D63" s="10"/>
      <c r="E63" s="10"/>
      <c r="F63" s="10"/>
      <c r="G63" s="10"/>
      <c r="M63" s="13"/>
      <c r="N63" s="13"/>
      <c r="O63" s="13"/>
      <c r="P63" s="11"/>
      <c r="Q63" s="13"/>
      <c r="R63" s="13"/>
      <c r="S63" s="13"/>
      <c r="T63" s="13"/>
      <c r="U63" s="13"/>
      <c r="V63" s="13"/>
      <c r="Y63" s="14"/>
      <c r="Z63" s="15"/>
    </row>
    <row r="64" spans="1:26" x14ac:dyDescent="0.25">
      <c r="A64" s="12"/>
      <c r="B64" s="12"/>
      <c r="C64" s="10"/>
      <c r="D64" s="10"/>
      <c r="E64" s="10"/>
      <c r="F64" s="10"/>
      <c r="G64" s="10"/>
      <c r="M64" s="13"/>
      <c r="N64" s="13"/>
      <c r="O64" s="13"/>
      <c r="P64" s="11"/>
      <c r="Q64" s="13"/>
      <c r="R64" s="13"/>
      <c r="S64" s="13"/>
      <c r="T64" s="13"/>
      <c r="U64" s="13"/>
      <c r="V64" s="13"/>
      <c r="Y64" s="14"/>
      <c r="Z64" s="15"/>
    </row>
    <row r="65" spans="1:26" x14ac:dyDescent="0.25">
      <c r="A65" s="12"/>
      <c r="B65" s="12"/>
      <c r="C65" s="10"/>
      <c r="D65" s="10"/>
      <c r="E65" s="10"/>
      <c r="F65" s="10"/>
      <c r="G65" s="10"/>
      <c r="M65" s="13"/>
      <c r="N65" s="13"/>
      <c r="O65" s="13"/>
      <c r="P65" s="11"/>
      <c r="Q65" s="13"/>
      <c r="R65" s="13"/>
      <c r="S65" s="13"/>
      <c r="T65" s="13"/>
      <c r="U65" s="13"/>
      <c r="V65" s="13"/>
      <c r="Y65" s="14"/>
      <c r="Z65" s="15"/>
    </row>
    <row r="66" spans="1:26" x14ac:dyDescent="0.25">
      <c r="A66" s="12"/>
      <c r="B66" s="12"/>
      <c r="C66" s="10"/>
      <c r="D66" s="10"/>
      <c r="E66" s="10"/>
      <c r="F66" s="10"/>
      <c r="G66" s="10"/>
      <c r="M66" s="13"/>
      <c r="N66" s="13"/>
      <c r="O66" s="13"/>
      <c r="P66" s="11"/>
      <c r="Q66" s="13"/>
      <c r="R66" s="13"/>
      <c r="S66" s="13"/>
      <c r="T66" s="13"/>
      <c r="U66" s="13"/>
      <c r="V66" s="13"/>
      <c r="Y66" s="14"/>
      <c r="Z66" s="15"/>
    </row>
    <row r="67" spans="1:26" x14ac:dyDescent="0.25">
      <c r="A67" s="12"/>
      <c r="B67" s="12"/>
      <c r="C67" s="10"/>
      <c r="D67" s="10"/>
      <c r="E67" s="10"/>
      <c r="F67" s="10"/>
      <c r="G67" s="10"/>
      <c r="M67" s="13"/>
      <c r="N67" s="13"/>
      <c r="O67" s="13"/>
      <c r="P67" s="11"/>
      <c r="Q67" s="13"/>
      <c r="R67" s="13"/>
      <c r="S67" s="13"/>
      <c r="T67" s="13"/>
      <c r="U67" s="13"/>
      <c r="V67" s="13"/>
      <c r="Y67" s="14"/>
      <c r="Z67" s="15"/>
    </row>
    <row r="68" spans="1:26" x14ac:dyDescent="0.25">
      <c r="A68" s="12"/>
      <c r="B68" s="12"/>
      <c r="C68" s="10"/>
      <c r="D68" s="10"/>
      <c r="E68" s="10"/>
      <c r="F68" s="10"/>
      <c r="G68" s="10"/>
      <c r="M68" s="13"/>
      <c r="N68" s="13"/>
      <c r="O68" s="13"/>
      <c r="P68" s="11"/>
      <c r="Q68" s="13"/>
      <c r="R68" s="13"/>
      <c r="S68" s="13"/>
      <c r="T68" s="13"/>
      <c r="U68" s="13"/>
      <c r="V68" s="13"/>
      <c r="Y68" s="14"/>
      <c r="Z68" s="15"/>
    </row>
    <row r="69" spans="1:26" x14ac:dyDescent="0.25">
      <c r="A69" s="12"/>
      <c r="B69" s="12"/>
      <c r="C69" s="10"/>
      <c r="D69" s="10"/>
      <c r="E69" s="10"/>
      <c r="F69" s="10"/>
      <c r="G69" s="10"/>
      <c r="M69" s="13"/>
      <c r="N69" s="13"/>
      <c r="O69" s="13"/>
      <c r="P69" s="11"/>
      <c r="Q69" s="13"/>
      <c r="R69" s="13"/>
      <c r="S69" s="13"/>
      <c r="T69" s="13"/>
      <c r="U69" s="13"/>
      <c r="V69" s="13"/>
      <c r="Y69" s="14"/>
      <c r="Z69" s="15"/>
    </row>
    <row r="70" spans="1:26" x14ac:dyDescent="0.25">
      <c r="A70" s="12"/>
      <c r="B70" s="12"/>
      <c r="C70" s="10"/>
      <c r="D70" s="10"/>
      <c r="E70" s="10"/>
      <c r="F70" s="10"/>
      <c r="G70" s="10"/>
      <c r="M70" s="13"/>
      <c r="N70" s="13"/>
      <c r="O70" s="13"/>
      <c r="P70" s="11"/>
      <c r="Q70" s="13"/>
      <c r="R70" s="13"/>
      <c r="S70" s="13"/>
      <c r="T70" s="13"/>
      <c r="U70" s="13"/>
      <c r="V70" s="13"/>
      <c r="Y70" s="14"/>
      <c r="Z70" s="15"/>
    </row>
    <row r="71" spans="1:26" x14ac:dyDescent="0.25">
      <c r="A71" s="12"/>
      <c r="B71" s="12"/>
      <c r="C71" s="10"/>
      <c r="D71" s="10"/>
      <c r="E71" s="10"/>
      <c r="F71" s="10"/>
      <c r="G71" s="10"/>
      <c r="M71" s="13"/>
      <c r="N71" s="13"/>
      <c r="O71" s="13"/>
      <c r="P71" s="11"/>
      <c r="Q71" s="13"/>
      <c r="R71" s="13"/>
      <c r="S71" s="13"/>
      <c r="T71" s="13"/>
      <c r="U71" s="13"/>
      <c r="V71" s="13"/>
      <c r="Y71" s="14"/>
      <c r="Z71" s="15"/>
    </row>
    <row r="72" spans="1:26" x14ac:dyDescent="0.25">
      <c r="A72" s="12"/>
      <c r="B72" s="12"/>
      <c r="C72" s="10"/>
      <c r="D72" s="10"/>
      <c r="E72" s="10"/>
      <c r="F72" s="10"/>
      <c r="G72" s="10"/>
      <c r="M72" s="13"/>
      <c r="N72" s="13"/>
      <c r="O72" s="13"/>
      <c r="P72" s="11"/>
      <c r="Q72" s="13"/>
      <c r="R72" s="13"/>
      <c r="S72" s="13"/>
      <c r="T72" s="13"/>
      <c r="U72" s="13"/>
      <c r="V72" s="13"/>
      <c r="Y72" s="14"/>
      <c r="Z72" s="15"/>
    </row>
    <row r="73" spans="1:26" x14ac:dyDescent="0.25">
      <c r="A73" s="12"/>
      <c r="B73" s="12"/>
      <c r="C73" s="10"/>
      <c r="D73" s="10"/>
      <c r="E73" s="10"/>
      <c r="F73" s="10"/>
      <c r="G73" s="10"/>
      <c r="M73" s="13"/>
      <c r="N73" s="13"/>
      <c r="O73" s="13"/>
      <c r="P73" s="11"/>
      <c r="Q73" s="13"/>
      <c r="R73" s="13"/>
      <c r="S73" s="13"/>
      <c r="T73" s="13"/>
      <c r="U73" s="13"/>
      <c r="V73" s="13"/>
      <c r="Y73" s="14"/>
      <c r="Z73" s="15"/>
    </row>
    <row r="74" spans="1:26" x14ac:dyDescent="0.25">
      <c r="A74" s="12"/>
      <c r="B74" s="12"/>
      <c r="C74" s="10"/>
      <c r="D74" s="10"/>
      <c r="E74" s="10"/>
      <c r="F74" s="10"/>
      <c r="G74" s="10"/>
      <c r="M74" s="13"/>
      <c r="N74" s="13"/>
      <c r="O74" s="13"/>
      <c r="P74" s="11"/>
      <c r="Q74" s="13"/>
      <c r="R74" s="13"/>
      <c r="S74" s="13"/>
      <c r="T74" s="13"/>
      <c r="U74" s="13"/>
      <c r="V74" s="13"/>
      <c r="Y74" s="14"/>
      <c r="Z74" s="15"/>
    </row>
    <row r="75" spans="1:26" x14ac:dyDescent="0.25">
      <c r="A75" s="12"/>
      <c r="B75" s="12"/>
      <c r="C75" s="10"/>
      <c r="D75" s="10"/>
      <c r="E75" s="10"/>
      <c r="F75" s="10"/>
      <c r="G75" s="10"/>
      <c r="M75" s="13"/>
      <c r="N75" s="13"/>
      <c r="O75" s="13"/>
      <c r="P75" s="11"/>
      <c r="Q75" s="13"/>
      <c r="R75" s="13"/>
      <c r="S75" s="13"/>
      <c r="T75" s="13"/>
      <c r="U75" s="13"/>
      <c r="V75" s="13"/>
      <c r="Y75" s="14"/>
      <c r="Z75" s="15"/>
    </row>
    <row r="76" spans="1:26" x14ac:dyDescent="0.25">
      <c r="A76" s="12"/>
      <c r="B76" s="12"/>
      <c r="C76" s="10"/>
      <c r="D76" s="10"/>
      <c r="E76" s="10"/>
      <c r="F76" s="10"/>
      <c r="G76" s="10"/>
      <c r="M76" s="13"/>
      <c r="N76" s="13"/>
      <c r="O76" s="13"/>
      <c r="P76" s="11"/>
      <c r="Q76" s="13"/>
      <c r="R76" s="13"/>
      <c r="S76" s="13"/>
      <c r="T76" s="13"/>
      <c r="U76" s="13"/>
      <c r="V76" s="13"/>
      <c r="Y76" s="14"/>
      <c r="Z76" s="15"/>
    </row>
    <row r="77" spans="1:26" x14ac:dyDescent="0.25">
      <c r="A77" s="12"/>
      <c r="B77" s="12"/>
      <c r="C77" s="10"/>
      <c r="D77" s="10"/>
      <c r="E77" s="10"/>
      <c r="F77" s="10"/>
      <c r="G77" s="10"/>
      <c r="M77" s="13"/>
      <c r="N77" s="13"/>
      <c r="O77" s="13"/>
      <c r="P77" s="11"/>
      <c r="Q77" s="13"/>
      <c r="R77" s="13"/>
      <c r="S77" s="13"/>
      <c r="T77" s="13"/>
      <c r="U77" s="13"/>
      <c r="V77" s="13"/>
      <c r="Y77" s="14"/>
      <c r="Z77" s="15"/>
    </row>
    <row r="78" spans="1:26" x14ac:dyDescent="0.25">
      <c r="A78" s="12"/>
      <c r="B78" s="12"/>
      <c r="C78" s="10"/>
      <c r="D78" s="10"/>
      <c r="E78" s="10"/>
      <c r="F78" s="10"/>
      <c r="G78" s="10"/>
      <c r="M78" s="13"/>
      <c r="N78" s="13"/>
      <c r="O78" s="13"/>
      <c r="P78" s="11"/>
      <c r="Q78" s="13"/>
      <c r="R78" s="13"/>
      <c r="S78" s="13"/>
      <c r="T78" s="13"/>
      <c r="U78" s="13"/>
      <c r="V78" s="13"/>
      <c r="Y78" s="14"/>
      <c r="Z78" s="15"/>
    </row>
    <row r="79" spans="1:26" x14ac:dyDescent="0.25">
      <c r="A79" s="12"/>
      <c r="B79" s="12"/>
      <c r="C79" s="10"/>
      <c r="D79" s="10"/>
      <c r="E79" s="10"/>
      <c r="F79" s="10"/>
      <c r="G79" s="10"/>
      <c r="M79" s="13"/>
      <c r="N79" s="13"/>
      <c r="O79" s="13"/>
      <c r="P79" s="11"/>
      <c r="Q79" s="13"/>
      <c r="R79" s="13"/>
      <c r="S79" s="13"/>
      <c r="T79" s="13"/>
      <c r="U79" s="13"/>
      <c r="V79" s="13"/>
      <c r="Y79" s="14"/>
      <c r="Z79" s="15"/>
    </row>
    <row r="80" spans="1:26" x14ac:dyDescent="0.25">
      <c r="A80" s="12"/>
      <c r="B80" s="12"/>
      <c r="C80" s="10"/>
      <c r="D80" s="10"/>
      <c r="E80" s="10"/>
      <c r="F80" s="10"/>
      <c r="G80" s="10"/>
      <c r="M80" s="13"/>
      <c r="N80" s="13"/>
      <c r="O80" s="13"/>
      <c r="P80" s="11"/>
      <c r="Q80" s="13"/>
      <c r="R80" s="13"/>
      <c r="S80" s="13"/>
      <c r="T80" s="13"/>
      <c r="U80" s="13"/>
      <c r="V80" s="13"/>
      <c r="Y80" s="14"/>
      <c r="Z80" s="15"/>
    </row>
    <row r="81" spans="1:26" x14ac:dyDescent="0.25">
      <c r="A81" s="12"/>
      <c r="B81" s="12"/>
      <c r="C81" s="10"/>
      <c r="D81" s="10"/>
      <c r="E81" s="10"/>
      <c r="F81" s="10"/>
      <c r="G81" s="10"/>
      <c r="M81" s="13"/>
      <c r="N81" s="13"/>
      <c r="O81" s="13"/>
      <c r="P81" s="11"/>
      <c r="Q81" s="13"/>
      <c r="R81" s="13"/>
      <c r="S81" s="13"/>
      <c r="T81" s="13"/>
      <c r="U81" s="13"/>
      <c r="V81" s="13"/>
      <c r="Y81" s="14"/>
      <c r="Z81" s="15"/>
    </row>
    <row r="82" spans="1:26" x14ac:dyDescent="0.25">
      <c r="A82" s="12"/>
      <c r="B82" s="12"/>
      <c r="C82" s="10"/>
      <c r="D82" s="10"/>
      <c r="E82" s="10"/>
      <c r="F82" s="10"/>
      <c r="G82" s="10"/>
      <c r="M82" s="13"/>
      <c r="N82" s="13"/>
      <c r="O82" s="13"/>
      <c r="P82" s="11"/>
      <c r="Q82" s="13"/>
      <c r="R82" s="13"/>
      <c r="S82" s="13"/>
      <c r="T82" s="13"/>
      <c r="U82" s="13"/>
      <c r="V82" s="13"/>
      <c r="Y82" s="14"/>
      <c r="Z82" s="15"/>
    </row>
    <row r="83" spans="1:26" x14ac:dyDescent="0.25">
      <c r="A83" s="12"/>
      <c r="B83" s="12"/>
      <c r="C83" s="10"/>
      <c r="D83" s="10"/>
      <c r="E83" s="10"/>
      <c r="F83" s="10"/>
      <c r="G83" s="10"/>
      <c r="M83" s="13"/>
      <c r="N83" s="13"/>
      <c r="O83" s="13"/>
      <c r="P83" s="11"/>
      <c r="Q83" s="13"/>
      <c r="R83" s="13"/>
      <c r="S83" s="13"/>
      <c r="T83" s="13"/>
      <c r="U83" s="13"/>
      <c r="V83" s="13"/>
      <c r="Y83" s="14"/>
      <c r="Z83" s="15"/>
    </row>
    <row r="84" spans="1:26" x14ac:dyDescent="0.25">
      <c r="A84" s="12"/>
      <c r="B84" s="12"/>
      <c r="C84" s="10"/>
      <c r="D84" s="10"/>
      <c r="E84" s="10"/>
      <c r="F84" s="10"/>
      <c r="G84" s="10"/>
      <c r="M84" s="13"/>
      <c r="N84" s="13"/>
      <c r="O84" s="13"/>
      <c r="P84" s="11"/>
      <c r="Q84" s="13"/>
      <c r="R84" s="13"/>
      <c r="S84" s="13"/>
      <c r="T84" s="13"/>
      <c r="U84" s="13"/>
      <c r="V84" s="13"/>
      <c r="Y84" s="14"/>
      <c r="Z84" s="15"/>
    </row>
    <row r="85" spans="1:26" x14ac:dyDescent="0.25">
      <c r="A85" s="12"/>
      <c r="B85" s="12"/>
      <c r="C85" s="10"/>
      <c r="D85" s="10"/>
      <c r="E85" s="10"/>
      <c r="F85" s="10"/>
      <c r="G85" s="10"/>
      <c r="M85" s="13"/>
      <c r="N85" s="13"/>
      <c r="O85" s="13"/>
      <c r="P85" s="11"/>
      <c r="Q85" s="13"/>
      <c r="R85" s="13"/>
      <c r="S85" s="13"/>
      <c r="T85" s="13"/>
      <c r="U85" s="13"/>
      <c r="V85" s="13"/>
      <c r="Y85" s="14"/>
      <c r="Z85" s="15"/>
    </row>
    <row r="86" spans="1:26" x14ac:dyDescent="0.25">
      <c r="A86" s="12"/>
      <c r="B86" s="12"/>
      <c r="C86" s="10"/>
      <c r="D86" s="10"/>
      <c r="E86" s="10"/>
      <c r="F86" s="10"/>
      <c r="G86" s="10"/>
      <c r="M86" s="13"/>
      <c r="N86" s="13"/>
      <c r="O86" s="13"/>
      <c r="P86" s="11"/>
      <c r="Q86" s="13"/>
      <c r="R86" s="13"/>
      <c r="S86" s="13"/>
      <c r="T86" s="13"/>
      <c r="U86" s="13"/>
      <c r="V86" s="13"/>
      <c r="Y86" s="14"/>
      <c r="Z86" s="15"/>
    </row>
    <row r="87" spans="1:26" x14ac:dyDescent="0.25">
      <c r="A87" s="12"/>
      <c r="B87" s="12"/>
      <c r="C87" s="10"/>
      <c r="D87" s="10"/>
      <c r="E87" s="10"/>
      <c r="F87" s="10"/>
      <c r="G87" s="10"/>
      <c r="M87" s="13"/>
      <c r="N87" s="13"/>
      <c r="O87" s="13"/>
      <c r="P87" s="11"/>
      <c r="Q87" s="13"/>
      <c r="R87" s="13"/>
      <c r="S87" s="13"/>
      <c r="T87" s="13"/>
      <c r="U87" s="13"/>
      <c r="V87" s="13"/>
      <c r="Y87" s="14"/>
      <c r="Z87" s="15"/>
    </row>
    <row r="88" spans="1:26" x14ac:dyDescent="0.25">
      <c r="A88" s="12"/>
      <c r="B88" s="12"/>
      <c r="C88" s="10"/>
      <c r="D88" s="10"/>
      <c r="E88" s="10"/>
      <c r="F88" s="10"/>
      <c r="G88" s="10"/>
      <c r="M88" s="13"/>
      <c r="N88" s="13"/>
      <c r="O88" s="13"/>
      <c r="P88" s="11"/>
      <c r="Q88" s="13"/>
      <c r="R88" s="13"/>
      <c r="S88" s="13"/>
      <c r="T88" s="13"/>
      <c r="U88" s="13"/>
      <c r="V88" s="13"/>
      <c r="Y88" s="14"/>
      <c r="Z88" s="15"/>
    </row>
    <row r="89" spans="1:26" x14ac:dyDescent="0.25">
      <c r="A89" s="12"/>
      <c r="B89" s="12"/>
      <c r="C89" s="10"/>
      <c r="D89" s="10"/>
      <c r="E89" s="10"/>
      <c r="F89" s="10"/>
      <c r="G89" s="10"/>
      <c r="M89" s="13"/>
      <c r="N89" s="13"/>
      <c r="O89" s="13"/>
      <c r="P89" s="11"/>
      <c r="Q89" s="13"/>
      <c r="R89" s="13"/>
      <c r="S89" s="13"/>
      <c r="T89" s="13"/>
      <c r="U89" s="13"/>
      <c r="V89" s="13"/>
      <c r="Y89" s="14"/>
      <c r="Z89" s="15"/>
    </row>
    <row r="90" spans="1:26" x14ac:dyDescent="0.25">
      <c r="A90" s="12"/>
      <c r="B90" s="12"/>
      <c r="C90" s="10"/>
      <c r="D90" s="10"/>
      <c r="E90" s="10"/>
      <c r="F90" s="10"/>
      <c r="G90" s="10"/>
      <c r="M90" s="13"/>
      <c r="N90" s="13"/>
      <c r="O90" s="13"/>
      <c r="P90" s="11"/>
      <c r="Q90" s="13"/>
      <c r="R90" s="13"/>
      <c r="S90" s="13"/>
      <c r="T90" s="13"/>
      <c r="U90" s="13"/>
      <c r="V90" s="13"/>
      <c r="Y90" s="14"/>
      <c r="Z90" s="15"/>
    </row>
    <row r="91" spans="1:26" x14ac:dyDescent="0.25">
      <c r="A91" s="12"/>
      <c r="B91" s="12"/>
      <c r="C91" s="10"/>
      <c r="D91" s="10"/>
      <c r="E91" s="10"/>
      <c r="F91" s="10"/>
      <c r="G91" s="10"/>
      <c r="M91" s="13"/>
      <c r="N91" s="13"/>
      <c r="O91" s="13"/>
      <c r="P91" s="11"/>
      <c r="Q91" s="13"/>
      <c r="R91" s="13"/>
      <c r="S91" s="13"/>
      <c r="T91" s="13"/>
      <c r="U91" s="13"/>
      <c r="V91" s="13"/>
      <c r="Y91" s="14"/>
      <c r="Z91" s="15"/>
    </row>
    <row r="92" spans="1:26" x14ac:dyDescent="0.25">
      <c r="A92" s="12"/>
      <c r="B92" s="12"/>
      <c r="C92" s="10"/>
      <c r="D92" s="10"/>
      <c r="E92" s="10"/>
      <c r="F92" s="10"/>
      <c r="G92" s="10"/>
      <c r="M92" s="13"/>
      <c r="N92" s="13"/>
      <c r="O92" s="13"/>
      <c r="P92" s="11"/>
      <c r="Q92" s="13"/>
      <c r="R92" s="13"/>
      <c r="S92" s="13"/>
      <c r="T92" s="13"/>
      <c r="U92" s="13"/>
      <c r="V92" s="13"/>
      <c r="Y92" s="14"/>
      <c r="Z92" s="15"/>
    </row>
    <row r="93" spans="1:26" x14ac:dyDescent="0.25">
      <c r="A93" s="12"/>
      <c r="B93" s="12"/>
      <c r="C93" s="10"/>
      <c r="D93" s="10"/>
      <c r="E93" s="10"/>
      <c r="F93" s="10"/>
      <c r="G93" s="10"/>
      <c r="M93" s="13"/>
      <c r="N93" s="13"/>
      <c r="O93" s="13"/>
      <c r="P93" s="11"/>
      <c r="Q93" s="13"/>
      <c r="R93" s="13"/>
      <c r="S93" s="13"/>
      <c r="T93" s="13"/>
      <c r="U93" s="13"/>
      <c r="V93" s="13"/>
      <c r="Y93" s="14"/>
      <c r="Z93" s="15"/>
    </row>
    <row r="94" spans="1:26" x14ac:dyDescent="0.25">
      <c r="A94" s="12"/>
      <c r="B94" s="12"/>
      <c r="C94" s="10"/>
      <c r="D94" s="10"/>
      <c r="E94" s="10"/>
      <c r="F94" s="10"/>
      <c r="G94" s="10"/>
      <c r="M94" s="13"/>
      <c r="N94" s="13"/>
      <c r="O94" s="13"/>
      <c r="P94" s="11"/>
      <c r="Q94" s="13"/>
      <c r="R94" s="13"/>
      <c r="S94" s="13"/>
      <c r="T94" s="13"/>
      <c r="U94" s="13"/>
      <c r="V94" s="13"/>
      <c r="Y94" s="14"/>
      <c r="Z94" s="15"/>
    </row>
    <row r="95" spans="1:26" x14ac:dyDescent="0.25">
      <c r="A95" s="12"/>
      <c r="B95" s="12"/>
      <c r="C95" s="10"/>
      <c r="D95" s="10"/>
      <c r="E95" s="10"/>
      <c r="F95" s="10"/>
      <c r="G95" s="10"/>
      <c r="M95" s="13"/>
      <c r="N95" s="13"/>
      <c r="O95" s="13"/>
      <c r="P95" s="11"/>
      <c r="Q95" s="13"/>
      <c r="R95" s="13"/>
      <c r="S95" s="13"/>
      <c r="T95" s="13"/>
      <c r="U95" s="13"/>
      <c r="V95" s="13"/>
      <c r="Y95" s="14"/>
      <c r="Z95" s="15"/>
    </row>
    <row r="96" spans="1:26" x14ac:dyDescent="0.25">
      <c r="A96" s="12"/>
      <c r="B96" s="12"/>
      <c r="C96" s="10"/>
      <c r="D96" s="10"/>
      <c r="E96" s="10"/>
      <c r="F96" s="10"/>
      <c r="G96" s="10"/>
      <c r="M96" s="13"/>
      <c r="N96" s="13"/>
      <c r="O96" s="13"/>
      <c r="P96" s="11"/>
      <c r="Q96" s="13"/>
      <c r="R96" s="13"/>
      <c r="S96" s="13"/>
      <c r="T96" s="13"/>
      <c r="U96" s="13"/>
      <c r="V96" s="13"/>
      <c r="Y96" s="14"/>
      <c r="Z96" s="15"/>
    </row>
    <row r="97" spans="1:26" x14ac:dyDescent="0.25">
      <c r="A97" s="12"/>
      <c r="B97" s="12"/>
      <c r="C97" s="10"/>
      <c r="D97" s="10"/>
      <c r="E97" s="10"/>
      <c r="F97" s="10"/>
      <c r="G97" s="10"/>
      <c r="M97" s="13"/>
      <c r="N97" s="13"/>
      <c r="O97" s="13"/>
      <c r="P97" s="11"/>
      <c r="Q97" s="13"/>
      <c r="R97" s="13"/>
      <c r="S97" s="13"/>
      <c r="T97" s="13"/>
      <c r="U97" s="13"/>
      <c r="V97" s="13"/>
      <c r="Y97" s="14"/>
      <c r="Z97" s="15"/>
    </row>
    <row r="98" spans="1:26" x14ac:dyDescent="0.25">
      <c r="A98" s="12"/>
      <c r="B98" s="12"/>
      <c r="C98" s="10"/>
      <c r="D98" s="10"/>
      <c r="E98" s="10"/>
      <c r="F98" s="10"/>
      <c r="G98" s="10"/>
      <c r="M98" s="13"/>
      <c r="N98" s="13"/>
      <c r="O98" s="13"/>
      <c r="P98" s="11"/>
      <c r="Q98" s="13"/>
      <c r="R98" s="13"/>
      <c r="S98" s="13"/>
      <c r="T98" s="13"/>
      <c r="U98" s="13"/>
      <c r="V98" s="13"/>
      <c r="Y98" s="14"/>
      <c r="Z98" s="15"/>
    </row>
    <row r="99" spans="1:26" x14ac:dyDescent="0.25">
      <c r="A99" s="12"/>
      <c r="B99" s="12"/>
      <c r="C99" s="10"/>
      <c r="D99" s="10"/>
      <c r="E99" s="10"/>
      <c r="F99" s="10"/>
      <c r="G99" s="10"/>
      <c r="M99" s="13"/>
      <c r="N99" s="13"/>
      <c r="O99" s="13"/>
      <c r="P99" s="11"/>
      <c r="Q99" s="13"/>
      <c r="R99" s="13"/>
      <c r="S99" s="13"/>
      <c r="T99" s="13"/>
      <c r="U99" s="13"/>
      <c r="V99" s="13"/>
      <c r="Y99" s="14"/>
      <c r="Z99" s="15"/>
    </row>
    <row r="100" spans="1:26" x14ac:dyDescent="0.25">
      <c r="A100" s="12"/>
      <c r="B100" s="12"/>
      <c r="C100" s="10"/>
      <c r="D100" s="10"/>
      <c r="E100" s="10"/>
      <c r="F100" s="10"/>
      <c r="G100" s="10"/>
      <c r="M100" s="13"/>
      <c r="N100" s="13"/>
      <c r="O100" s="13"/>
      <c r="P100" s="11"/>
      <c r="Q100" s="13"/>
      <c r="R100" s="13"/>
      <c r="S100" s="13"/>
      <c r="T100" s="13"/>
      <c r="U100" s="13"/>
      <c r="V100" s="13"/>
      <c r="Y100" s="14"/>
      <c r="Z100" s="15"/>
    </row>
    <row r="101" spans="1:26" x14ac:dyDescent="0.25">
      <c r="A101" s="12"/>
      <c r="B101" s="12"/>
      <c r="C101" s="10"/>
      <c r="D101" s="10"/>
      <c r="E101" s="10"/>
      <c r="F101" s="10"/>
      <c r="G101" s="10"/>
      <c r="M101" s="13"/>
      <c r="N101" s="13"/>
      <c r="O101" s="13"/>
      <c r="P101" s="11"/>
      <c r="Q101" s="13"/>
      <c r="R101" s="13"/>
      <c r="S101" s="13"/>
      <c r="T101" s="13"/>
      <c r="U101" s="13"/>
      <c r="V101" s="13"/>
      <c r="Y101" s="14"/>
      <c r="Z101" s="15"/>
    </row>
    <row r="102" spans="1:26" x14ac:dyDescent="0.25">
      <c r="A102" s="12"/>
      <c r="B102" s="12"/>
      <c r="C102" s="10"/>
      <c r="D102" s="10"/>
      <c r="E102" s="10"/>
      <c r="F102" s="10"/>
      <c r="G102" s="10"/>
      <c r="M102" s="13"/>
      <c r="N102" s="13"/>
      <c r="O102" s="13"/>
      <c r="P102" s="11"/>
      <c r="Q102" s="13"/>
      <c r="R102" s="13"/>
      <c r="S102" s="13"/>
      <c r="T102" s="13"/>
      <c r="U102" s="13"/>
      <c r="V102" s="13"/>
      <c r="Y102" s="14"/>
      <c r="Z102" s="15"/>
    </row>
    <row r="103" spans="1:26" x14ac:dyDescent="0.25">
      <c r="A103" s="12"/>
      <c r="B103" s="12"/>
      <c r="C103" s="10"/>
      <c r="D103" s="10"/>
      <c r="E103" s="10"/>
      <c r="F103" s="10"/>
      <c r="G103" s="10"/>
      <c r="M103" s="13"/>
      <c r="N103" s="13"/>
      <c r="O103" s="13"/>
      <c r="P103" s="11"/>
      <c r="Q103" s="13"/>
      <c r="R103" s="13"/>
      <c r="S103" s="13"/>
      <c r="T103" s="13"/>
      <c r="U103" s="13"/>
      <c r="V103" s="13"/>
      <c r="Y103" s="14"/>
      <c r="Z103" s="15"/>
    </row>
    <row r="104" spans="1:26" x14ac:dyDescent="0.25">
      <c r="A104" s="12"/>
      <c r="B104" s="12"/>
      <c r="C104" s="10"/>
      <c r="D104" s="10"/>
      <c r="E104" s="10"/>
      <c r="F104" s="10"/>
      <c r="G104" s="10"/>
      <c r="M104" s="13"/>
      <c r="N104" s="13"/>
      <c r="O104" s="13"/>
      <c r="P104" s="11"/>
      <c r="Q104" s="13"/>
      <c r="R104" s="13"/>
      <c r="S104" s="13"/>
      <c r="T104" s="13"/>
      <c r="U104" s="13"/>
      <c r="V104" s="13"/>
      <c r="Y104" s="14"/>
      <c r="Z104" s="15"/>
    </row>
    <row r="105" spans="1:26" x14ac:dyDescent="0.25">
      <c r="A105" s="12"/>
      <c r="B105" s="12"/>
      <c r="C105" s="10"/>
      <c r="D105" s="10"/>
      <c r="E105" s="10"/>
      <c r="F105" s="10"/>
      <c r="G105" s="10"/>
      <c r="M105" s="13"/>
      <c r="N105" s="13"/>
      <c r="O105" s="13"/>
      <c r="P105" s="11"/>
      <c r="Q105" s="13"/>
      <c r="R105" s="13"/>
      <c r="S105" s="13"/>
      <c r="T105" s="13"/>
      <c r="U105" s="13"/>
      <c r="V105" s="13"/>
      <c r="Y105" s="14"/>
      <c r="Z105" s="15"/>
    </row>
    <row r="106" spans="1:26" x14ac:dyDescent="0.25">
      <c r="A106" s="12"/>
      <c r="B106" s="12"/>
      <c r="C106" s="10"/>
      <c r="D106" s="10"/>
      <c r="E106" s="10"/>
      <c r="F106" s="10"/>
      <c r="G106" s="10"/>
      <c r="M106" s="13"/>
      <c r="N106" s="13"/>
      <c r="O106" s="13"/>
      <c r="P106" s="11"/>
      <c r="Q106" s="13"/>
      <c r="R106" s="13"/>
      <c r="S106" s="13"/>
      <c r="T106" s="13"/>
      <c r="U106" s="13"/>
      <c r="V106" s="13"/>
      <c r="Y106" s="14"/>
      <c r="Z106" s="15"/>
    </row>
    <row r="107" spans="1:26" x14ac:dyDescent="0.25">
      <c r="A107" s="12"/>
      <c r="B107" s="12"/>
      <c r="C107" s="10"/>
      <c r="D107" s="10"/>
      <c r="E107" s="10"/>
      <c r="F107" s="10"/>
      <c r="G107" s="10"/>
      <c r="M107" s="13"/>
      <c r="N107" s="13"/>
      <c r="O107" s="13"/>
      <c r="P107" s="11"/>
      <c r="Q107" s="13"/>
      <c r="R107" s="13"/>
      <c r="S107" s="13"/>
      <c r="T107" s="13"/>
      <c r="U107" s="13"/>
      <c r="V107" s="13"/>
      <c r="Y107" s="14"/>
      <c r="Z107" s="15"/>
    </row>
    <row r="108" spans="1:26" x14ac:dyDescent="0.25">
      <c r="A108" s="12"/>
      <c r="B108" s="12"/>
      <c r="C108" s="10"/>
      <c r="D108" s="10"/>
      <c r="E108" s="10"/>
      <c r="F108" s="10"/>
      <c r="G108" s="10"/>
      <c r="M108" s="13"/>
      <c r="N108" s="13"/>
      <c r="O108" s="13"/>
      <c r="P108" s="11"/>
      <c r="Q108" s="13"/>
      <c r="R108" s="13"/>
      <c r="S108" s="13"/>
      <c r="T108" s="13"/>
      <c r="U108" s="13"/>
      <c r="V108" s="13"/>
      <c r="Y108" s="14"/>
      <c r="Z108" s="15"/>
    </row>
    <row r="109" spans="1:26" x14ac:dyDescent="0.25">
      <c r="A109" s="12"/>
      <c r="B109" s="12"/>
      <c r="C109" s="10"/>
      <c r="D109" s="10"/>
      <c r="E109" s="10"/>
      <c r="F109" s="10"/>
      <c r="G109" s="10"/>
      <c r="M109" s="13"/>
      <c r="N109" s="13"/>
      <c r="O109" s="13"/>
      <c r="P109" s="11"/>
      <c r="Q109" s="13"/>
      <c r="R109" s="13"/>
      <c r="S109" s="13"/>
      <c r="T109" s="13"/>
      <c r="U109" s="13"/>
      <c r="V109" s="13"/>
      <c r="Y109" s="14"/>
      <c r="Z109" s="15"/>
    </row>
    <row r="110" spans="1:26" x14ac:dyDescent="0.25">
      <c r="A110" s="12"/>
      <c r="B110" s="12"/>
      <c r="C110" s="10"/>
      <c r="D110" s="10"/>
      <c r="E110" s="10"/>
      <c r="F110" s="10"/>
      <c r="G110" s="10"/>
      <c r="M110" s="13"/>
      <c r="N110" s="13"/>
      <c r="O110" s="13"/>
      <c r="P110" s="11"/>
      <c r="Q110" s="13"/>
      <c r="R110" s="13"/>
      <c r="S110" s="13"/>
      <c r="T110" s="13"/>
      <c r="U110" s="13"/>
      <c r="V110" s="13"/>
      <c r="Y110" s="14"/>
      <c r="Z110" s="15"/>
    </row>
    <row r="111" spans="1:26" x14ac:dyDescent="0.25">
      <c r="A111" s="12"/>
      <c r="B111" s="12"/>
      <c r="C111" s="10"/>
      <c r="D111" s="10"/>
      <c r="E111" s="10"/>
      <c r="F111" s="10"/>
      <c r="G111" s="10"/>
      <c r="M111" s="13"/>
      <c r="N111" s="13"/>
      <c r="O111" s="13"/>
      <c r="P111" s="11"/>
      <c r="Q111" s="13"/>
      <c r="R111" s="13"/>
      <c r="S111" s="13"/>
      <c r="T111" s="13"/>
      <c r="U111" s="13"/>
      <c r="V111" s="13"/>
      <c r="Y111" s="14"/>
      <c r="Z111" s="15"/>
    </row>
    <row r="112" spans="1:26" x14ac:dyDescent="0.25">
      <c r="A112" s="12"/>
      <c r="B112" s="12"/>
      <c r="C112" s="10"/>
      <c r="D112" s="10"/>
      <c r="E112" s="10"/>
      <c r="F112" s="10"/>
      <c r="G112" s="10"/>
      <c r="M112" s="13"/>
      <c r="N112" s="13"/>
      <c r="O112" s="13"/>
      <c r="P112" s="11"/>
      <c r="Q112" s="13"/>
      <c r="R112" s="13"/>
      <c r="S112" s="13"/>
      <c r="T112" s="13"/>
      <c r="U112" s="13"/>
      <c r="V112" s="13"/>
      <c r="Y112" s="14"/>
      <c r="Z112" s="15"/>
    </row>
    <row r="113" spans="1:26" x14ac:dyDescent="0.25">
      <c r="A113" s="12"/>
      <c r="B113" s="12"/>
      <c r="C113" s="10"/>
      <c r="D113" s="10"/>
      <c r="E113" s="10"/>
      <c r="F113" s="10"/>
      <c r="G113" s="10"/>
      <c r="M113" s="13"/>
      <c r="N113" s="13"/>
      <c r="O113" s="13"/>
      <c r="P113" s="11"/>
      <c r="Q113" s="13"/>
      <c r="R113" s="13"/>
      <c r="S113" s="13"/>
      <c r="T113" s="13"/>
      <c r="U113" s="13"/>
      <c r="V113" s="13"/>
      <c r="Y113" s="14"/>
      <c r="Z113" s="15"/>
    </row>
    <row r="114" spans="1:26" x14ac:dyDescent="0.25">
      <c r="A114" s="12"/>
      <c r="B114" s="12"/>
      <c r="C114" s="10"/>
      <c r="D114" s="10"/>
      <c r="E114" s="10"/>
      <c r="F114" s="10"/>
      <c r="G114" s="10"/>
      <c r="M114" s="13"/>
      <c r="N114" s="13"/>
      <c r="O114" s="13"/>
      <c r="P114" s="11"/>
      <c r="Q114" s="13"/>
      <c r="R114" s="13"/>
      <c r="S114" s="13"/>
      <c r="T114" s="13"/>
      <c r="U114" s="13"/>
      <c r="V114" s="13"/>
      <c r="Y114" s="14"/>
      <c r="Z114" s="15"/>
    </row>
    <row r="115" spans="1:26" x14ac:dyDescent="0.25">
      <c r="A115" s="12"/>
      <c r="B115" s="12"/>
      <c r="C115" s="10"/>
      <c r="D115" s="10"/>
      <c r="E115" s="10"/>
      <c r="F115" s="10"/>
      <c r="G115" s="10"/>
      <c r="M115" s="13"/>
      <c r="N115" s="13"/>
      <c r="O115" s="13"/>
      <c r="P115" s="11"/>
      <c r="Q115" s="13"/>
      <c r="R115" s="13"/>
      <c r="S115" s="13"/>
      <c r="T115" s="13"/>
      <c r="U115" s="13"/>
      <c r="V115" s="13"/>
      <c r="Y115" s="14"/>
      <c r="Z115" s="15"/>
    </row>
    <row r="116" spans="1:26" x14ac:dyDescent="0.25">
      <c r="A116" s="12"/>
      <c r="B116" s="12"/>
      <c r="C116" s="10"/>
      <c r="D116" s="10"/>
      <c r="E116" s="10"/>
      <c r="F116" s="10"/>
      <c r="G116" s="10"/>
      <c r="M116" s="13"/>
      <c r="N116" s="13"/>
      <c r="O116" s="13"/>
      <c r="P116" s="11"/>
      <c r="Q116" s="13"/>
      <c r="R116" s="13"/>
      <c r="S116" s="13"/>
      <c r="T116" s="13"/>
      <c r="U116" s="13"/>
      <c r="V116" s="13"/>
      <c r="Y116" s="14"/>
      <c r="Z116" s="15"/>
    </row>
    <row r="117" spans="1:26" x14ac:dyDescent="0.25">
      <c r="A117" s="12"/>
      <c r="B117" s="12"/>
      <c r="C117" s="10"/>
      <c r="D117" s="10"/>
      <c r="E117" s="10"/>
      <c r="F117" s="10"/>
      <c r="G117" s="10"/>
      <c r="M117" s="13"/>
      <c r="N117" s="13"/>
      <c r="O117" s="13"/>
      <c r="P117" s="11"/>
      <c r="Q117" s="13"/>
      <c r="R117" s="13"/>
      <c r="S117" s="13"/>
      <c r="T117" s="13"/>
      <c r="U117" s="13"/>
      <c r="V117" s="13"/>
      <c r="Y117" s="14"/>
      <c r="Z117" s="15"/>
    </row>
    <row r="118" spans="1:26" x14ac:dyDescent="0.25">
      <c r="A118" s="12"/>
      <c r="B118" s="12"/>
      <c r="C118" s="10"/>
      <c r="D118" s="10"/>
      <c r="E118" s="10"/>
      <c r="F118" s="10"/>
      <c r="G118" s="10"/>
      <c r="M118" s="13"/>
      <c r="N118" s="13"/>
      <c r="O118" s="13"/>
      <c r="P118" s="11"/>
      <c r="Q118" s="13"/>
      <c r="R118" s="13"/>
      <c r="S118" s="13"/>
      <c r="T118" s="13"/>
      <c r="U118" s="13"/>
      <c r="V118" s="13"/>
      <c r="Y118" s="14"/>
      <c r="Z118" s="15"/>
    </row>
    <row r="119" spans="1:26" x14ac:dyDescent="0.25">
      <c r="A119" s="12"/>
      <c r="B119" s="12"/>
      <c r="C119" s="10"/>
      <c r="D119" s="10"/>
      <c r="E119" s="10"/>
      <c r="F119" s="10"/>
      <c r="G119" s="10"/>
      <c r="M119" s="13"/>
      <c r="N119" s="13"/>
      <c r="O119" s="13"/>
      <c r="P119" s="11"/>
      <c r="Q119" s="13"/>
      <c r="R119" s="13"/>
      <c r="S119" s="13"/>
      <c r="T119" s="13"/>
      <c r="U119" s="13"/>
      <c r="V119" s="13"/>
      <c r="Y119" s="14"/>
      <c r="Z119" s="15"/>
    </row>
    <row r="120" spans="1:26" x14ac:dyDescent="0.25">
      <c r="A120" s="12"/>
      <c r="B120" s="12"/>
      <c r="C120" s="10"/>
      <c r="D120" s="10"/>
      <c r="E120" s="10"/>
      <c r="F120" s="10"/>
      <c r="G120" s="10"/>
      <c r="M120" s="13"/>
      <c r="N120" s="13"/>
      <c r="O120" s="13"/>
      <c r="P120" s="11"/>
      <c r="Q120" s="13"/>
      <c r="R120" s="13"/>
      <c r="S120" s="13"/>
      <c r="T120" s="13"/>
      <c r="U120" s="13"/>
      <c r="V120" s="13"/>
      <c r="Y120" s="14"/>
      <c r="Z120" s="15"/>
    </row>
    <row r="121" spans="1:26" x14ac:dyDescent="0.25">
      <c r="A121" s="12"/>
      <c r="B121" s="12"/>
      <c r="C121" s="10"/>
      <c r="D121" s="10"/>
      <c r="E121" s="10"/>
      <c r="F121" s="10"/>
      <c r="G121" s="10"/>
      <c r="M121" s="13"/>
      <c r="N121" s="13"/>
      <c r="O121" s="13"/>
      <c r="P121" s="11"/>
      <c r="Q121" s="13"/>
      <c r="R121" s="13"/>
      <c r="S121" s="13"/>
      <c r="T121" s="13"/>
      <c r="U121" s="13"/>
      <c r="V121" s="13"/>
      <c r="Y121" s="14"/>
      <c r="Z121" s="15"/>
    </row>
    <row r="122" spans="1:26" x14ac:dyDescent="0.25">
      <c r="A122" s="12"/>
      <c r="B122" s="12"/>
      <c r="C122" s="10"/>
      <c r="D122" s="10"/>
      <c r="E122" s="10"/>
      <c r="F122" s="10"/>
      <c r="G122" s="10"/>
      <c r="M122" s="13"/>
      <c r="N122" s="13"/>
      <c r="O122" s="13"/>
      <c r="P122" s="11"/>
      <c r="Q122" s="13"/>
      <c r="R122" s="13"/>
      <c r="S122" s="13"/>
      <c r="T122" s="13"/>
      <c r="U122" s="13"/>
      <c r="V122" s="13"/>
      <c r="Y122" s="14"/>
      <c r="Z122" s="15"/>
    </row>
    <row r="123" spans="1:26" x14ac:dyDescent="0.25">
      <c r="A123" s="12"/>
      <c r="B123" s="12"/>
      <c r="C123" s="10"/>
      <c r="D123" s="10"/>
      <c r="E123" s="10"/>
      <c r="F123" s="10"/>
      <c r="G123" s="10"/>
      <c r="M123" s="13"/>
      <c r="N123" s="13"/>
      <c r="O123" s="13"/>
      <c r="P123" s="11"/>
      <c r="Q123" s="13"/>
      <c r="R123" s="13"/>
      <c r="S123" s="13"/>
      <c r="T123" s="13"/>
      <c r="U123" s="13"/>
      <c r="V123" s="13"/>
      <c r="Y123" s="14"/>
      <c r="Z123" s="15"/>
    </row>
    <row r="124" spans="1:26" x14ac:dyDescent="0.25">
      <c r="A124" s="12"/>
      <c r="B124" s="12"/>
      <c r="C124" s="10"/>
      <c r="D124" s="10"/>
      <c r="E124" s="10"/>
      <c r="F124" s="10"/>
      <c r="G124" s="10"/>
      <c r="M124" s="13"/>
      <c r="N124" s="13"/>
      <c r="O124" s="13"/>
      <c r="P124" s="11"/>
      <c r="Q124" s="13"/>
      <c r="R124" s="13"/>
      <c r="S124" s="13"/>
      <c r="T124" s="13"/>
      <c r="U124" s="13"/>
      <c r="V124" s="13"/>
      <c r="Y124" s="14"/>
      <c r="Z124" s="15"/>
    </row>
    <row r="125" spans="1:26" x14ac:dyDescent="0.25">
      <c r="A125" s="12"/>
      <c r="B125" s="12"/>
      <c r="C125" s="10"/>
      <c r="D125" s="10"/>
      <c r="E125" s="10"/>
      <c r="F125" s="10"/>
      <c r="G125" s="10"/>
      <c r="M125" s="13"/>
      <c r="N125" s="13"/>
      <c r="O125" s="13"/>
      <c r="P125" s="11"/>
      <c r="Q125" s="13"/>
      <c r="R125" s="13"/>
      <c r="S125" s="13"/>
      <c r="T125" s="13"/>
      <c r="U125" s="13"/>
      <c r="V125" s="13"/>
      <c r="Y125" s="14"/>
      <c r="Z125" s="15"/>
    </row>
    <row r="126" spans="1:26" x14ac:dyDescent="0.25">
      <c r="A126" s="12"/>
      <c r="B126" s="12"/>
      <c r="C126" s="10"/>
      <c r="D126" s="10"/>
      <c r="E126" s="10"/>
      <c r="F126" s="10"/>
      <c r="G126" s="10"/>
      <c r="M126" s="13"/>
      <c r="N126" s="13"/>
      <c r="O126" s="13"/>
      <c r="P126" s="11"/>
      <c r="Q126" s="13"/>
      <c r="R126" s="13"/>
      <c r="S126" s="13"/>
      <c r="T126" s="13"/>
      <c r="U126" s="13"/>
      <c r="V126" s="13"/>
      <c r="Y126" s="14"/>
      <c r="Z126" s="15"/>
    </row>
    <row r="127" spans="1:26" x14ac:dyDescent="0.25">
      <c r="A127" s="12"/>
      <c r="B127" s="12"/>
      <c r="C127" s="10"/>
      <c r="D127" s="10"/>
      <c r="E127" s="10"/>
      <c r="F127" s="10"/>
      <c r="G127" s="10"/>
      <c r="M127" s="13"/>
      <c r="N127" s="13"/>
      <c r="O127" s="13"/>
      <c r="P127" s="11"/>
      <c r="Q127" s="13"/>
      <c r="R127" s="13"/>
      <c r="S127" s="13"/>
      <c r="T127" s="13"/>
      <c r="U127" s="13"/>
      <c r="V127" s="13"/>
      <c r="Y127" s="14"/>
      <c r="Z127" s="15"/>
    </row>
    <row r="128" spans="1:26" x14ac:dyDescent="0.25">
      <c r="A128" s="12"/>
      <c r="B128" s="12"/>
      <c r="C128" s="10"/>
      <c r="D128" s="10"/>
      <c r="E128" s="10"/>
      <c r="F128" s="10"/>
      <c r="G128" s="10"/>
      <c r="M128" s="13"/>
      <c r="N128" s="13"/>
      <c r="O128" s="13"/>
      <c r="P128" s="11"/>
      <c r="Q128" s="13"/>
      <c r="R128" s="13"/>
      <c r="S128" s="13"/>
      <c r="T128" s="13"/>
      <c r="U128" s="13"/>
      <c r="V128" s="13"/>
      <c r="Y128" s="14"/>
      <c r="Z128" s="15"/>
    </row>
    <row r="129" spans="1:26" x14ac:dyDescent="0.25">
      <c r="A129" s="12"/>
      <c r="B129" s="12"/>
      <c r="C129" s="10"/>
      <c r="D129" s="10"/>
      <c r="E129" s="10"/>
      <c r="F129" s="10"/>
      <c r="G129" s="10"/>
      <c r="M129" s="13"/>
      <c r="N129" s="13"/>
      <c r="O129" s="13"/>
      <c r="P129" s="11"/>
      <c r="Q129" s="13"/>
      <c r="R129" s="13"/>
      <c r="S129" s="13"/>
      <c r="T129" s="13"/>
      <c r="U129" s="13"/>
      <c r="V129" s="13"/>
      <c r="Y129" s="14"/>
      <c r="Z129" s="15"/>
    </row>
    <row r="130" spans="1:26" x14ac:dyDescent="0.25">
      <c r="A130" s="12"/>
      <c r="B130" s="12"/>
      <c r="C130" s="10"/>
      <c r="D130" s="10"/>
      <c r="E130" s="10"/>
      <c r="F130" s="10"/>
      <c r="G130" s="10"/>
      <c r="M130" s="13"/>
      <c r="N130" s="13"/>
      <c r="O130" s="13"/>
      <c r="P130" s="11"/>
      <c r="Q130" s="13"/>
      <c r="R130" s="13"/>
      <c r="S130" s="13"/>
      <c r="T130" s="13"/>
      <c r="U130" s="13"/>
      <c r="V130" s="13"/>
      <c r="Y130" s="14"/>
      <c r="Z130" s="15"/>
    </row>
    <row r="131" spans="1:26" x14ac:dyDescent="0.25">
      <c r="A131" s="12"/>
      <c r="B131" s="12"/>
      <c r="C131" s="10"/>
      <c r="D131" s="10"/>
      <c r="E131" s="10"/>
      <c r="F131" s="10"/>
      <c r="G131" s="10"/>
      <c r="M131" s="13"/>
      <c r="N131" s="13"/>
      <c r="O131" s="13"/>
      <c r="P131" s="11"/>
      <c r="Q131" s="13"/>
      <c r="R131" s="13"/>
      <c r="S131" s="13"/>
      <c r="T131" s="13"/>
      <c r="U131" s="13"/>
      <c r="V131" s="13"/>
      <c r="Y131" s="14"/>
      <c r="Z131" s="15"/>
    </row>
    <row r="132" spans="1:26" x14ac:dyDescent="0.25">
      <c r="A132" s="12"/>
      <c r="B132" s="12"/>
      <c r="C132" s="10"/>
      <c r="D132" s="10"/>
      <c r="E132" s="10"/>
      <c r="F132" s="10"/>
      <c r="G132" s="10"/>
      <c r="M132" s="13"/>
      <c r="N132" s="13"/>
      <c r="O132" s="13"/>
      <c r="P132" s="11"/>
      <c r="Q132" s="13"/>
      <c r="R132" s="13"/>
      <c r="S132" s="13"/>
      <c r="T132" s="13"/>
      <c r="U132" s="13"/>
      <c r="V132" s="13"/>
      <c r="Y132" s="14"/>
      <c r="Z132" s="15"/>
    </row>
    <row r="133" spans="1:26" x14ac:dyDescent="0.25">
      <c r="A133" s="12"/>
      <c r="B133" s="12"/>
      <c r="C133" s="10"/>
      <c r="D133" s="10"/>
      <c r="E133" s="10"/>
      <c r="F133" s="10"/>
      <c r="G133" s="10"/>
      <c r="M133" s="13"/>
      <c r="N133" s="13"/>
      <c r="O133" s="13"/>
      <c r="P133" s="11"/>
      <c r="Q133" s="13"/>
      <c r="R133" s="13"/>
      <c r="S133" s="13"/>
      <c r="T133" s="13"/>
      <c r="U133" s="13"/>
      <c r="V133" s="13"/>
      <c r="Y133" s="14"/>
      <c r="Z133" s="15"/>
    </row>
    <row r="134" spans="1:26" x14ac:dyDescent="0.25">
      <c r="A134" s="12"/>
      <c r="B134" s="12"/>
      <c r="C134" s="10"/>
      <c r="D134" s="10"/>
      <c r="E134" s="10"/>
      <c r="F134" s="10"/>
      <c r="G134" s="10"/>
      <c r="M134" s="13"/>
      <c r="N134" s="13"/>
      <c r="O134" s="13"/>
      <c r="P134" s="11"/>
      <c r="Q134" s="13"/>
      <c r="R134" s="13"/>
      <c r="S134" s="13"/>
      <c r="T134" s="13"/>
      <c r="U134" s="13"/>
      <c r="V134" s="13"/>
      <c r="Y134" s="14"/>
      <c r="Z134" s="15"/>
    </row>
    <row r="135" spans="1:26" x14ac:dyDescent="0.25">
      <c r="A135" s="12"/>
      <c r="B135" s="12"/>
      <c r="C135" s="10"/>
      <c r="D135" s="10"/>
      <c r="E135" s="10"/>
      <c r="F135" s="10"/>
      <c r="G135" s="10"/>
      <c r="M135" s="13"/>
      <c r="N135" s="13"/>
      <c r="O135" s="13"/>
      <c r="P135" s="11"/>
      <c r="Q135" s="13"/>
      <c r="R135" s="13"/>
      <c r="S135" s="13"/>
      <c r="T135" s="13"/>
      <c r="U135" s="13"/>
      <c r="V135" s="13"/>
      <c r="Y135" s="14"/>
      <c r="Z135" s="15"/>
    </row>
    <row r="136" spans="1:26" x14ac:dyDescent="0.25">
      <c r="A136" s="12"/>
      <c r="B136" s="12"/>
      <c r="C136" s="10"/>
      <c r="D136" s="10"/>
      <c r="E136" s="10"/>
      <c r="F136" s="10"/>
      <c r="G136" s="10"/>
      <c r="M136" s="13"/>
      <c r="N136" s="13"/>
      <c r="O136" s="13"/>
      <c r="P136" s="11"/>
      <c r="Q136" s="13"/>
      <c r="R136" s="13"/>
      <c r="S136" s="13"/>
      <c r="T136" s="13"/>
      <c r="U136" s="13"/>
      <c r="V136" s="13"/>
      <c r="Y136" s="14"/>
      <c r="Z136" s="15"/>
    </row>
    <row r="137" spans="1:26" x14ac:dyDescent="0.25">
      <c r="A137" s="12"/>
      <c r="B137" s="12"/>
      <c r="C137" s="10"/>
      <c r="D137" s="10"/>
      <c r="E137" s="10"/>
      <c r="F137" s="10"/>
      <c r="G137" s="10"/>
      <c r="M137" s="13"/>
      <c r="N137" s="13"/>
      <c r="O137" s="13"/>
      <c r="P137" s="11"/>
      <c r="Q137" s="13"/>
      <c r="R137" s="13"/>
      <c r="S137" s="13"/>
      <c r="T137" s="13"/>
      <c r="U137" s="13"/>
      <c r="V137" s="13"/>
      <c r="Y137" s="14"/>
      <c r="Z137" s="15"/>
    </row>
    <row r="138" spans="1:26" x14ac:dyDescent="0.25">
      <c r="A138" s="12"/>
      <c r="B138" s="12"/>
      <c r="C138" s="10"/>
      <c r="D138" s="10"/>
      <c r="E138" s="10"/>
      <c r="F138" s="10"/>
      <c r="G138" s="10"/>
      <c r="M138" s="13"/>
      <c r="N138" s="13"/>
      <c r="O138" s="13"/>
      <c r="P138" s="11"/>
      <c r="Q138" s="13"/>
      <c r="R138" s="13"/>
      <c r="S138" s="13"/>
      <c r="T138" s="13"/>
      <c r="U138" s="13"/>
      <c r="V138" s="13"/>
      <c r="Y138" s="14"/>
      <c r="Z138" s="15"/>
    </row>
    <row r="139" spans="1:26" x14ac:dyDescent="0.25">
      <c r="A139" s="12"/>
      <c r="B139" s="12"/>
      <c r="C139" s="10"/>
      <c r="D139" s="10"/>
      <c r="E139" s="10"/>
      <c r="F139" s="10"/>
      <c r="G139" s="10"/>
      <c r="M139" s="13"/>
      <c r="N139" s="13"/>
      <c r="O139" s="13"/>
      <c r="P139" s="11"/>
      <c r="Q139" s="13"/>
      <c r="R139" s="13"/>
      <c r="S139" s="13"/>
      <c r="T139" s="13"/>
      <c r="U139" s="13"/>
      <c r="V139" s="13"/>
      <c r="Y139" s="14"/>
      <c r="Z139" s="15"/>
    </row>
    <row r="140" spans="1:26" x14ac:dyDescent="0.25">
      <c r="A140" s="12"/>
      <c r="B140" s="12"/>
      <c r="C140" s="10"/>
      <c r="D140" s="10"/>
      <c r="E140" s="10"/>
      <c r="F140" s="10"/>
      <c r="G140" s="10"/>
      <c r="M140" s="13"/>
      <c r="N140" s="13"/>
      <c r="O140" s="13"/>
      <c r="P140" s="11"/>
      <c r="Q140" s="13"/>
      <c r="R140" s="13"/>
      <c r="S140" s="13"/>
      <c r="T140" s="13"/>
      <c r="U140" s="13"/>
      <c r="V140" s="13"/>
      <c r="Y140" s="14"/>
      <c r="Z140" s="15"/>
    </row>
    <row r="141" spans="1:26" x14ac:dyDescent="0.25">
      <c r="A141" s="12"/>
      <c r="B141" s="12"/>
      <c r="C141" s="10"/>
      <c r="D141" s="10"/>
      <c r="E141" s="10"/>
      <c r="F141" s="10"/>
      <c r="G141" s="10"/>
      <c r="M141" s="13"/>
      <c r="N141" s="13"/>
      <c r="O141" s="13"/>
      <c r="P141" s="11"/>
      <c r="Q141" s="13"/>
      <c r="R141" s="13"/>
      <c r="S141" s="13"/>
      <c r="T141" s="13"/>
      <c r="U141" s="13"/>
      <c r="V141" s="13"/>
      <c r="Y141" s="14"/>
      <c r="Z141" s="15"/>
    </row>
    <row r="142" spans="1:26" x14ac:dyDescent="0.25">
      <c r="A142" s="12"/>
      <c r="B142" s="12"/>
      <c r="C142" s="10"/>
      <c r="D142" s="10"/>
      <c r="E142" s="10"/>
      <c r="F142" s="10"/>
      <c r="G142" s="10"/>
      <c r="M142" s="13"/>
      <c r="N142" s="13"/>
      <c r="O142" s="13"/>
      <c r="P142" s="11"/>
      <c r="Q142" s="13"/>
      <c r="R142" s="13"/>
      <c r="S142" s="13"/>
      <c r="T142" s="13"/>
      <c r="U142" s="13"/>
      <c r="V142" s="13"/>
      <c r="Y142" s="14"/>
      <c r="Z142" s="15"/>
    </row>
    <row r="143" spans="1:26" x14ac:dyDescent="0.25">
      <c r="A143" s="12"/>
      <c r="B143" s="12"/>
      <c r="C143" s="10"/>
      <c r="D143" s="10"/>
      <c r="E143" s="10"/>
      <c r="F143" s="10"/>
      <c r="G143" s="10"/>
      <c r="M143" s="13"/>
      <c r="N143" s="13"/>
      <c r="O143" s="13"/>
      <c r="P143" s="11"/>
      <c r="Q143" s="13"/>
      <c r="R143" s="13"/>
      <c r="S143" s="13"/>
      <c r="T143" s="13"/>
      <c r="U143" s="13"/>
      <c r="V143" s="13"/>
      <c r="Y143" s="14"/>
      <c r="Z143" s="15"/>
    </row>
    <row r="144" spans="1:26" x14ac:dyDescent="0.25">
      <c r="A144" s="12"/>
      <c r="B144" s="12"/>
      <c r="C144" s="10"/>
      <c r="D144" s="10"/>
      <c r="E144" s="10"/>
      <c r="F144" s="10"/>
      <c r="G144" s="10"/>
      <c r="M144" s="13"/>
      <c r="N144" s="13"/>
      <c r="O144" s="13"/>
      <c r="P144" s="11"/>
      <c r="Q144" s="13"/>
      <c r="R144" s="13"/>
      <c r="S144" s="13"/>
      <c r="T144" s="13"/>
      <c r="U144" s="13"/>
      <c r="V144" s="13"/>
      <c r="Y144" s="14"/>
      <c r="Z144" s="15"/>
    </row>
    <row r="145" spans="1:26" x14ac:dyDescent="0.25">
      <c r="A145" s="12"/>
      <c r="B145" s="12"/>
      <c r="C145" s="10"/>
      <c r="D145" s="10"/>
      <c r="E145" s="10"/>
      <c r="F145" s="10"/>
      <c r="G145" s="10"/>
      <c r="M145" s="13"/>
      <c r="N145" s="13"/>
      <c r="O145" s="13"/>
      <c r="P145" s="11"/>
      <c r="Q145" s="13"/>
      <c r="R145" s="13"/>
      <c r="S145" s="13"/>
      <c r="T145" s="13"/>
      <c r="U145" s="13"/>
      <c r="V145" s="13"/>
      <c r="Y145" s="14"/>
      <c r="Z145" s="15"/>
    </row>
    <row r="146" spans="1:26" x14ac:dyDescent="0.25">
      <c r="A146" s="12"/>
      <c r="B146" s="12"/>
      <c r="C146" s="10"/>
      <c r="D146" s="10"/>
      <c r="E146" s="10"/>
      <c r="F146" s="10"/>
      <c r="G146" s="10"/>
      <c r="M146" s="13"/>
      <c r="N146" s="13"/>
      <c r="O146" s="13"/>
      <c r="P146" s="11"/>
      <c r="Q146" s="13"/>
      <c r="R146" s="13"/>
      <c r="S146" s="13"/>
      <c r="T146" s="13"/>
      <c r="U146" s="13"/>
      <c r="V146" s="13"/>
      <c r="Y146" s="14"/>
      <c r="Z146" s="15"/>
    </row>
    <row r="147" spans="1:26" x14ac:dyDescent="0.25">
      <c r="A147" s="12"/>
      <c r="B147" s="12"/>
      <c r="C147" s="10"/>
      <c r="D147" s="10"/>
      <c r="E147" s="10"/>
      <c r="F147" s="10"/>
      <c r="G147" s="10"/>
      <c r="M147" s="13"/>
      <c r="N147" s="13"/>
      <c r="O147" s="13"/>
      <c r="P147" s="11"/>
      <c r="Q147" s="13"/>
      <c r="R147" s="13"/>
      <c r="S147" s="13"/>
      <c r="T147" s="13"/>
      <c r="U147" s="13"/>
      <c r="V147" s="13"/>
      <c r="Y147" s="14"/>
      <c r="Z147" s="15"/>
    </row>
    <row r="148" spans="1:26" x14ac:dyDescent="0.25">
      <c r="A148" s="12"/>
      <c r="B148" s="12"/>
      <c r="C148" s="10"/>
      <c r="D148" s="10"/>
      <c r="E148" s="10"/>
      <c r="F148" s="10"/>
      <c r="G148" s="10"/>
      <c r="M148" s="13"/>
      <c r="N148" s="13"/>
      <c r="O148" s="13"/>
      <c r="P148" s="11"/>
      <c r="Q148" s="13"/>
      <c r="R148" s="13"/>
      <c r="S148" s="13"/>
      <c r="T148" s="13"/>
      <c r="U148" s="13"/>
      <c r="V148" s="13"/>
      <c r="Y148" s="14"/>
      <c r="Z148" s="15"/>
    </row>
    <row r="149" spans="1:26" x14ac:dyDescent="0.25">
      <c r="A149" s="12"/>
      <c r="B149" s="12"/>
      <c r="C149" s="10"/>
      <c r="D149" s="10"/>
      <c r="E149" s="10"/>
      <c r="F149" s="10"/>
      <c r="G149" s="10"/>
      <c r="M149" s="13"/>
      <c r="N149" s="13"/>
      <c r="O149" s="13"/>
      <c r="P149" s="11"/>
      <c r="Q149" s="13"/>
      <c r="R149" s="13"/>
      <c r="S149" s="13"/>
      <c r="T149" s="13"/>
      <c r="U149" s="13"/>
      <c r="V149" s="13"/>
      <c r="Y149" s="14"/>
      <c r="Z149" s="15"/>
    </row>
    <row r="150" spans="1:26" x14ac:dyDescent="0.25">
      <c r="A150" s="12"/>
      <c r="B150" s="12"/>
      <c r="C150" s="10"/>
      <c r="D150" s="10"/>
      <c r="E150" s="10"/>
      <c r="F150" s="10"/>
      <c r="G150" s="10"/>
      <c r="M150" s="13"/>
      <c r="N150" s="13"/>
      <c r="O150" s="13"/>
      <c r="P150" s="11"/>
      <c r="Q150" s="13"/>
      <c r="R150" s="13"/>
      <c r="S150" s="13"/>
      <c r="T150" s="13"/>
      <c r="U150" s="13"/>
      <c r="V150" s="13"/>
      <c r="Y150" s="14"/>
      <c r="Z150" s="15"/>
    </row>
    <row r="151" spans="1:26" x14ac:dyDescent="0.25">
      <c r="A151" s="12"/>
      <c r="B151" s="12"/>
      <c r="C151" s="10"/>
      <c r="D151" s="10"/>
      <c r="E151" s="10"/>
      <c r="F151" s="10"/>
      <c r="G151" s="10"/>
      <c r="M151" s="13"/>
      <c r="N151" s="13"/>
      <c r="O151" s="13"/>
      <c r="P151" s="11"/>
      <c r="Q151" s="13"/>
      <c r="R151" s="13"/>
      <c r="S151" s="13"/>
      <c r="T151" s="13"/>
      <c r="U151" s="13"/>
      <c r="V151" s="13"/>
      <c r="Y151" s="14"/>
      <c r="Z151" s="15"/>
    </row>
    <row r="152" spans="1:26" x14ac:dyDescent="0.25">
      <c r="A152" s="12"/>
      <c r="B152" s="12"/>
      <c r="C152" s="10"/>
      <c r="D152" s="10"/>
      <c r="E152" s="10"/>
      <c r="F152" s="10"/>
      <c r="G152" s="10"/>
      <c r="M152" s="13"/>
      <c r="N152" s="13"/>
      <c r="O152" s="13"/>
      <c r="P152" s="11"/>
      <c r="Q152" s="13"/>
      <c r="R152" s="13"/>
      <c r="S152" s="13"/>
      <c r="T152" s="13"/>
      <c r="U152" s="13"/>
      <c r="V152" s="13"/>
      <c r="Y152" s="14"/>
      <c r="Z152" s="15"/>
    </row>
    <row r="153" spans="1:26" x14ac:dyDescent="0.25">
      <c r="A153" s="12"/>
      <c r="B153" s="12"/>
      <c r="C153" s="10"/>
      <c r="D153" s="10"/>
      <c r="E153" s="10"/>
      <c r="F153" s="10"/>
      <c r="G153" s="10"/>
      <c r="M153" s="13"/>
      <c r="N153" s="13"/>
      <c r="O153" s="13"/>
      <c r="P153" s="11"/>
      <c r="Q153" s="13"/>
      <c r="R153" s="13"/>
      <c r="S153" s="13"/>
      <c r="T153" s="13"/>
      <c r="U153" s="13"/>
      <c r="V153" s="13"/>
      <c r="Y153" s="14"/>
      <c r="Z153" s="15"/>
    </row>
    <row r="154" spans="1:26" x14ac:dyDescent="0.25">
      <c r="A154" s="12"/>
      <c r="B154" s="12"/>
      <c r="C154" s="10"/>
      <c r="D154" s="10"/>
      <c r="E154" s="10"/>
      <c r="F154" s="10"/>
      <c r="G154" s="10"/>
      <c r="M154" s="13"/>
      <c r="N154" s="13"/>
      <c r="O154" s="13"/>
      <c r="P154" s="11"/>
      <c r="Q154" s="13"/>
      <c r="R154" s="13"/>
      <c r="S154" s="13"/>
      <c r="T154" s="13"/>
      <c r="U154" s="13"/>
      <c r="V154" s="13"/>
      <c r="Y154" s="14"/>
      <c r="Z154" s="15"/>
    </row>
    <row r="155" spans="1:26" x14ac:dyDescent="0.25">
      <c r="A155" s="12"/>
      <c r="B155" s="12"/>
      <c r="C155" s="10"/>
      <c r="D155" s="10"/>
      <c r="E155" s="10"/>
      <c r="F155" s="10"/>
      <c r="G155" s="10"/>
      <c r="M155" s="13"/>
      <c r="N155" s="13"/>
      <c r="O155" s="13"/>
      <c r="P155" s="11"/>
      <c r="Q155" s="13"/>
      <c r="R155" s="13"/>
      <c r="S155" s="13"/>
      <c r="T155" s="13"/>
      <c r="U155" s="13"/>
      <c r="V155" s="13"/>
      <c r="Y155" s="14"/>
      <c r="Z155" s="15"/>
    </row>
    <row r="156" spans="1:26" x14ac:dyDescent="0.25">
      <c r="A156" s="12"/>
      <c r="B156" s="12"/>
      <c r="C156" s="10"/>
      <c r="D156" s="10"/>
      <c r="E156" s="10"/>
      <c r="F156" s="10"/>
      <c r="G156" s="10"/>
      <c r="M156" s="13"/>
      <c r="N156" s="13"/>
      <c r="O156" s="13"/>
      <c r="P156" s="11"/>
      <c r="Q156" s="13"/>
      <c r="R156" s="13"/>
      <c r="S156" s="13"/>
      <c r="T156" s="13"/>
      <c r="U156" s="13"/>
      <c r="V156" s="13"/>
      <c r="Y156" s="14"/>
      <c r="Z156" s="15"/>
    </row>
    <row r="157" spans="1:26" x14ac:dyDescent="0.25">
      <c r="A157" s="12"/>
      <c r="B157" s="12"/>
      <c r="C157" s="10"/>
      <c r="D157" s="10"/>
      <c r="E157" s="10"/>
      <c r="F157" s="10"/>
      <c r="G157" s="10"/>
      <c r="M157" s="13"/>
      <c r="N157" s="13"/>
      <c r="O157" s="13"/>
      <c r="P157" s="11"/>
      <c r="Q157" s="13"/>
      <c r="R157" s="13"/>
      <c r="S157" s="13"/>
      <c r="T157" s="13"/>
      <c r="U157" s="13"/>
      <c r="V157" s="13"/>
      <c r="Y157" s="14"/>
      <c r="Z157" s="15"/>
    </row>
    <row r="158" spans="1:26" x14ac:dyDescent="0.25">
      <c r="A158" s="12"/>
      <c r="B158" s="12"/>
      <c r="C158" s="10"/>
      <c r="D158" s="10"/>
      <c r="E158" s="10"/>
      <c r="F158" s="10"/>
      <c r="G158" s="10"/>
      <c r="M158" s="13"/>
      <c r="N158" s="13"/>
      <c r="O158" s="13"/>
      <c r="P158" s="11"/>
      <c r="Q158" s="13"/>
      <c r="R158" s="13"/>
      <c r="S158" s="13"/>
      <c r="T158" s="13"/>
      <c r="U158" s="13"/>
      <c r="V158" s="13"/>
      <c r="Y158" s="14"/>
      <c r="Z158" s="15"/>
    </row>
    <row r="159" spans="1:26" x14ac:dyDescent="0.25">
      <c r="A159" s="12"/>
      <c r="B159" s="12"/>
      <c r="C159" s="10"/>
      <c r="D159" s="10"/>
      <c r="E159" s="10"/>
      <c r="F159" s="10"/>
      <c r="G159" s="10"/>
      <c r="M159" s="13"/>
      <c r="N159" s="13"/>
      <c r="O159" s="13"/>
      <c r="P159" s="11"/>
      <c r="Q159" s="13"/>
      <c r="R159" s="13"/>
      <c r="S159" s="13"/>
      <c r="T159" s="13"/>
      <c r="U159" s="13"/>
      <c r="V159" s="13"/>
      <c r="Y159" s="14"/>
      <c r="Z159" s="15"/>
    </row>
    <row r="160" spans="1:26" x14ac:dyDescent="0.25">
      <c r="A160" s="12"/>
      <c r="B160" s="12"/>
      <c r="C160" s="10"/>
      <c r="D160" s="10"/>
      <c r="E160" s="10"/>
      <c r="F160" s="10"/>
      <c r="G160" s="10"/>
      <c r="M160" s="13"/>
      <c r="N160" s="13"/>
      <c r="O160" s="13"/>
      <c r="P160" s="11"/>
      <c r="Q160" s="13"/>
      <c r="R160" s="13"/>
      <c r="S160" s="13"/>
      <c r="T160" s="13"/>
      <c r="U160" s="13"/>
      <c r="V160" s="13"/>
      <c r="Y160" s="14"/>
      <c r="Z160" s="15"/>
    </row>
    <row r="161" spans="1:26" x14ac:dyDescent="0.25">
      <c r="A161" s="12"/>
      <c r="B161" s="12"/>
      <c r="C161" s="10"/>
      <c r="D161" s="10"/>
      <c r="E161" s="10"/>
      <c r="F161" s="10"/>
      <c r="G161" s="10"/>
      <c r="M161" s="13"/>
      <c r="N161" s="13"/>
      <c r="O161" s="13"/>
      <c r="P161" s="11"/>
      <c r="Q161" s="13"/>
      <c r="R161" s="13"/>
      <c r="S161" s="13"/>
      <c r="T161" s="13"/>
      <c r="U161" s="13"/>
      <c r="V161" s="13"/>
      <c r="Y161" s="14"/>
      <c r="Z161" s="15"/>
    </row>
    <row r="162" spans="1:26" x14ac:dyDescent="0.25">
      <c r="A162" s="12"/>
      <c r="B162" s="12"/>
      <c r="C162" s="10"/>
      <c r="D162" s="10"/>
      <c r="E162" s="10"/>
      <c r="F162" s="10"/>
      <c r="G162" s="10"/>
      <c r="M162" s="13"/>
      <c r="N162" s="13"/>
      <c r="O162" s="13"/>
      <c r="P162" s="11"/>
      <c r="Q162" s="13"/>
      <c r="R162" s="13"/>
      <c r="S162" s="13"/>
      <c r="T162" s="13"/>
      <c r="U162" s="13"/>
      <c r="V162" s="13"/>
      <c r="Y162" s="14"/>
      <c r="Z162" s="15"/>
    </row>
    <row r="163" spans="1:26" x14ac:dyDescent="0.25">
      <c r="A163" s="12"/>
      <c r="B163" s="12"/>
      <c r="C163" s="10"/>
      <c r="D163" s="10"/>
      <c r="E163" s="10"/>
      <c r="F163" s="10"/>
      <c r="G163" s="10"/>
      <c r="M163" s="13"/>
      <c r="N163" s="13"/>
      <c r="O163" s="13"/>
      <c r="P163" s="11"/>
      <c r="Q163" s="13"/>
      <c r="R163" s="13"/>
      <c r="S163" s="13"/>
      <c r="T163" s="13"/>
      <c r="U163" s="13"/>
      <c r="V163" s="13"/>
      <c r="Y163" s="14"/>
      <c r="Z163" s="15"/>
    </row>
    <row r="164" spans="1:26" x14ac:dyDescent="0.25">
      <c r="A164" s="12"/>
      <c r="B164" s="12"/>
      <c r="C164" s="10"/>
      <c r="D164" s="10"/>
      <c r="E164" s="10"/>
      <c r="F164" s="10"/>
      <c r="G164" s="10"/>
      <c r="M164" s="13"/>
      <c r="N164" s="13"/>
      <c r="O164" s="13"/>
      <c r="P164" s="11"/>
      <c r="Q164" s="13"/>
      <c r="R164" s="13"/>
      <c r="S164" s="13"/>
      <c r="T164" s="13"/>
      <c r="U164" s="13"/>
      <c r="V164" s="13"/>
      <c r="Y164" s="14"/>
      <c r="Z164" s="15"/>
    </row>
    <row r="165" spans="1:26" x14ac:dyDescent="0.25">
      <c r="A165" s="12"/>
      <c r="B165" s="12"/>
      <c r="C165" s="10"/>
      <c r="D165" s="10"/>
      <c r="E165" s="10"/>
      <c r="F165" s="10"/>
      <c r="G165" s="10"/>
      <c r="M165" s="13"/>
      <c r="N165" s="13"/>
      <c r="O165" s="13"/>
      <c r="P165" s="11"/>
      <c r="Q165" s="13"/>
      <c r="R165" s="13"/>
      <c r="S165" s="13"/>
      <c r="T165" s="13"/>
      <c r="U165" s="13"/>
      <c r="V165" s="13"/>
      <c r="Y165" s="14"/>
      <c r="Z165" s="15"/>
    </row>
    <row r="166" spans="1:26" x14ac:dyDescent="0.25">
      <c r="A166" s="12"/>
      <c r="B166" s="12"/>
      <c r="C166" s="10"/>
      <c r="D166" s="10"/>
      <c r="E166" s="10"/>
      <c r="F166" s="10"/>
      <c r="G166" s="10"/>
      <c r="M166" s="13"/>
      <c r="N166" s="13"/>
      <c r="O166" s="13"/>
      <c r="P166" s="11"/>
      <c r="Q166" s="13"/>
      <c r="R166" s="13"/>
      <c r="S166" s="13"/>
      <c r="T166" s="13"/>
      <c r="U166" s="13"/>
      <c r="V166" s="13"/>
      <c r="Y166" s="14"/>
      <c r="Z166" s="15"/>
    </row>
    <row r="167" spans="1:26" x14ac:dyDescent="0.25">
      <c r="A167" s="12"/>
      <c r="B167" s="12"/>
      <c r="C167" s="10"/>
      <c r="D167" s="10"/>
      <c r="E167" s="10"/>
      <c r="F167" s="10"/>
      <c r="G167" s="10"/>
      <c r="M167" s="13"/>
      <c r="N167" s="13"/>
      <c r="O167" s="13"/>
      <c r="P167" s="11"/>
      <c r="Q167" s="13"/>
      <c r="R167" s="13"/>
      <c r="S167" s="13"/>
      <c r="T167" s="13"/>
      <c r="U167" s="13"/>
      <c r="V167" s="13"/>
      <c r="Y167" s="14"/>
      <c r="Z167" s="15"/>
    </row>
    <row r="168" spans="1:26" x14ac:dyDescent="0.25">
      <c r="A168" s="12"/>
      <c r="B168" s="12"/>
      <c r="C168" s="10"/>
      <c r="D168" s="10"/>
      <c r="E168" s="10"/>
      <c r="F168" s="10"/>
      <c r="G168" s="10"/>
      <c r="M168" s="13"/>
      <c r="N168" s="13"/>
      <c r="O168" s="13"/>
      <c r="P168" s="11"/>
      <c r="Q168" s="13"/>
      <c r="R168" s="13"/>
      <c r="S168" s="13"/>
      <c r="T168" s="13"/>
      <c r="U168" s="13"/>
      <c r="V168" s="13"/>
      <c r="Y168" s="14"/>
      <c r="Z168" s="15"/>
    </row>
    <row r="169" spans="1:26" x14ac:dyDescent="0.25">
      <c r="A169" s="12"/>
      <c r="B169" s="12"/>
      <c r="C169" s="10"/>
      <c r="D169" s="10"/>
      <c r="E169" s="10"/>
      <c r="F169" s="10"/>
      <c r="G169" s="10"/>
      <c r="M169" s="13"/>
      <c r="N169" s="13"/>
      <c r="O169" s="13"/>
      <c r="P169" s="11"/>
      <c r="Q169" s="13"/>
      <c r="R169" s="13"/>
      <c r="S169" s="13"/>
      <c r="T169" s="13"/>
      <c r="U169" s="13"/>
      <c r="V169" s="13"/>
      <c r="Y169" s="14"/>
      <c r="Z169" s="15"/>
    </row>
    <row r="170" spans="1:26" x14ac:dyDescent="0.25">
      <c r="A170" s="12"/>
      <c r="B170" s="12"/>
      <c r="C170" s="10"/>
      <c r="D170" s="10"/>
      <c r="E170" s="10"/>
      <c r="F170" s="10"/>
      <c r="G170" s="10"/>
      <c r="M170" s="13"/>
      <c r="N170" s="13"/>
      <c r="O170" s="13"/>
      <c r="P170" s="11"/>
      <c r="Q170" s="13"/>
      <c r="R170" s="13"/>
      <c r="S170" s="13"/>
      <c r="T170" s="13"/>
      <c r="U170" s="13"/>
      <c r="V170" s="13"/>
      <c r="Y170" s="14"/>
      <c r="Z170" s="15"/>
    </row>
    <row r="171" spans="1:26" x14ac:dyDescent="0.25">
      <c r="A171" s="12"/>
      <c r="B171" s="12"/>
      <c r="C171" s="10"/>
      <c r="D171" s="10"/>
      <c r="E171" s="10"/>
      <c r="F171" s="10"/>
      <c r="G171" s="10"/>
      <c r="M171" s="13"/>
      <c r="N171" s="13"/>
      <c r="O171" s="13"/>
      <c r="P171" s="11"/>
      <c r="Q171" s="13"/>
      <c r="R171" s="13"/>
      <c r="S171" s="13"/>
      <c r="T171" s="13"/>
      <c r="U171" s="13"/>
      <c r="V171" s="13"/>
      <c r="Y171" s="14"/>
      <c r="Z171" s="15"/>
    </row>
    <row r="172" spans="1:26" x14ac:dyDescent="0.25">
      <c r="A172" s="12"/>
      <c r="B172" s="12"/>
      <c r="C172" s="10"/>
      <c r="D172" s="10"/>
      <c r="E172" s="10"/>
      <c r="F172" s="10"/>
      <c r="G172" s="10"/>
      <c r="M172" s="13"/>
      <c r="N172" s="13"/>
      <c r="O172" s="13"/>
      <c r="P172" s="11"/>
      <c r="Q172" s="13"/>
      <c r="R172" s="13"/>
      <c r="S172" s="13"/>
      <c r="T172" s="13"/>
      <c r="U172" s="13"/>
      <c r="V172" s="13"/>
      <c r="Y172" s="14"/>
      <c r="Z172" s="15"/>
    </row>
    <row r="173" spans="1:26" x14ac:dyDescent="0.25">
      <c r="A173" s="12"/>
      <c r="B173" s="12"/>
      <c r="C173" s="10"/>
      <c r="D173" s="10"/>
      <c r="E173" s="10"/>
      <c r="F173" s="10"/>
      <c r="G173" s="10"/>
      <c r="M173" s="13"/>
      <c r="N173" s="13"/>
      <c r="O173" s="13"/>
      <c r="P173" s="11"/>
      <c r="Q173" s="13"/>
      <c r="R173" s="13"/>
      <c r="S173" s="13"/>
      <c r="T173" s="13"/>
      <c r="U173" s="13"/>
      <c r="V173" s="13"/>
      <c r="Y173" s="14"/>
      <c r="Z173" s="15"/>
    </row>
    <row r="174" spans="1:26" x14ac:dyDescent="0.25">
      <c r="A174" s="12"/>
      <c r="B174" s="12"/>
      <c r="C174" s="10"/>
      <c r="D174" s="10"/>
      <c r="E174" s="10"/>
      <c r="F174" s="10"/>
      <c r="G174" s="10"/>
      <c r="M174" s="13"/>
      <c r="N174" s="13"/>
      <c r="O174" s="13"/>
      <c r="P174" s="11"/>
      <c r="Q174" s="13"/>
      <c r="R174" s="13"/>
      <c r="S174" s="13"/>
      <c r="T174" s="13"/>
      <c r="U174" s="13"/>
      <c r="V174" s="13"/>
      <c r="Y174" s="14"/>
      <c r="Z174" s="15"/>
    </row>
    <row r="175" spans="1:26" x14ac:dyDescent="0.25">
      <c r="A175" s="12"/>
      <c r="B175" s="12"/>
      <c r="C175" s="10"/>
      <c r="D175" s="10"/>
      <c r="E175" s="10"/>
      <c r="F175" s="10"/>
      <c r="G175" s="10"/>
      <c r="M175" s="13"/>
      <c r="N175" s="13"/>
      <c r="O175" s="13"/>
      <c r="P175" s="11"/>
      <c r="Q175" s="13"/>
      <c r="R175" s="13"/>
      <c r="S175" s="13"/>
      <c r="T175" s="13"/>
      <c r="U175" s="13"/>
      <c r="V175" s="13"/>
      <c r="Y175" s="14"/>
      <c r="Z175" s="15"/>
    </row>
    <row r="176" spans="1:26" x14ac:dyDescent="0.25">
      <c r="A176" s="12"/>
      <c r="B176" s="12"/>
      <c r="C176" s="10"/>
      <c r="D176" s="10"/>
      <c r="E176" s="10"/>
      <c r="F176" s="10"/>
      <c r="G176" s="10"/>
      <c r="M176" s="13"/>
      <c r="N176" s="13"/>
      <c r="O176" s="13"/>
      <c r="P176" s="11"/>
      <c r="Q176" s="13"/>
      <c r="R176" s="13"/>
      <c r="S176" s="13"/>
      <c r="T176" s="13"/>
      <c r="U176" s="13"/>
      <c r="V176" s="13"/>
      <c r="Y176" s="14"/>
      <c r="Z176" s="15"/>
    </row>
    <row r="177" spans="1:26" x14ac:dyDescent="0.25">
      <c r="A177" s="12"/>
      <c r="B177" s="12"/>
      <c r="C177" s="10"/>
      <c r="D177" s="10"/>
      <c r="E177" s="10"/>
      <c r="F177" s="10"/>
      <c r="G177" s="10"/>
      <c r="M177" s="13"/>
      <c r="N177" s="13"/>
      <c r="O177" s="13"/>
      <c r="P177" s="11"/>
      <c r="Q177" s="13"/>
      <c r="R177" s="13"/>
      <c r="S177" s="13"/>
      <c r="T177" s="13"/>
      <c r="U177" s="13"/>
      <c r="V177" s="13"/>
      <c r="Y177" s="14"/>
      <c r="Z177" s="15"/>
    </row>
    <row r="178" spans="1:26" x14ac:dyDescent="0.25">
      <c r="A178" s="12"/>
      <c r="B178" s="12"/>
      <c r="C178" s="10"/>
      <c r="D178" s="10"/>
      <c r="E178" s="10"/>
      <c r="F178" s="10"/>
      <c r="G178" s="10"/>
      <c r="M178" s="13"/>
      <c r="N178" s="13"/>
      <c r="O178" s="13"/>
      <c r="P178" s="11"/>
      <c r="Q178" s="13"/>
      <c r="R178" s="13"/>
      <c r="S178" s="13"/>
      <c r="T178" s="13"/>
      <c r="U178" s="13"/>
      <c r="V178" s="13"/>
      <c r="Y178" s="14"/>
      <c r="Z178" s="15"/>
    </row>
    <row r="179" spans="1:26" x14ac:dyDescent="0.25">
      <c r="A179" s="12"/>
      <c r="B179" s="12"/>
      <c r="C179" s="10"/>
      <c r="D179" s="10"/>
      <c r="E179" s="10"/>
      <c r="F179" s="10"/>
      <c r="G179" s="10"/>
      <c r="M179" s="13"/>
      <c r="N179" s="13"/>
      <c r="O179" s="13"/>
      <c r="P179" s="11"/>
      <c r="Q179" s="13"/>
      <c r="R179" s="13"/>
      <c r="S179" s="13"/>
      <c r="T179" s="13"/>
      <c r="U179" s="13"/>
      <c r="V179" s="13"/>
      <c r="Y179" s="14"/>
      <c r="Z179" s="15"/>
    </row>
    <row r="180" spans="1:26" x14ac:dyDescent="0.25">
      <c r="A180" s="12"/>
      <c r="B180" s="12"/>
      <c r="C180" s="10"/>
      <c r="D180" s="10"/>
      <c r="E180" s="10"/>
      <c r="F180" s="10"/>
      <c r="G180" s="10"/>
      <c r="M180" s="13"/>
      <c r="N180" s="13"/>
      <c r="O180" s="13"/>
      <c r="P180" s="11"/>
      <c r="Q180" s="13"/>
      <c r="R180" s="13"/>
      <c r="S180" s="13"/>
      <c r="T180" s="13"/>
      <c r="U180" s="13"/>
      <c r="V180" s="13"/>
      <c r="Y180" s="14"/>
      <c r="Z180" s="15"/>
    </row>
    <row r="181" spans="1:26" x14ac:dyDescent="0.25">
      <c r="A181" s="12"/>
      <c r="B181" s="12"/>
      <c r="C181" s="10"/>
      <c r="D181" s="10"/>
      <c r="E181" s="10"/>
      <c r="F181" s="10"/>
      <c r="G181" s="10"/>
      <c r="M181" s="13"/>
      <c r="N181" s="13"/>
      <c r="O181" s="13"/>
      <c r="P181" s="11"/>
      <c r="Q181" s="13"/>
      <c r="R181" s="13"/>
      <c r="S181" s="13"/>
      <c r="T181" s="13"/>
      <c r="U181" s="13"/>
      <c r="V181" s="13"/>
      <c r="Y181" s="14"/>
      <c r="Z181" s="15"/>
    </row>
    <row r="182" spans="1:26" x14ac:dyDescent="0.25">
      <c r="A182" s="12"/>
      <c r="B182" s="12"/>
      <c r="C182" s="10"/>
      <c r="D182" s="10"/>
      <c r="E182" s="10"/>
      <c r="F182" s="10"/>
      <c r="G182" s="10"/>
      <c r="M182" s="13"/>
      <c r="N182" s="13"/>
      <c r="O182" s="13"/>
      <c r="P182" s="11"/>
      <c r="Q182" s="13"/>
      <c r="R182" s="13"/>
      <c r="S182" s="13"/>
      <c r="T182" s="13"/>
      <c r="U182" s="13"/>
      <c r="V182" s="13"/>
      <c r="Y182" s="14"/>
      <c r="Z182" s="15"/>
    </row>
    <row r="183" spans="1:26" x14ac:dyDescent="0.25">
      <c r="A183" s="12"/>
      <c r="B183" s="12"/>
      <c r="C183" s="10"/>
      <c r="D183" s="10"/>
      <c r="E183" s="10"/>
      <c r="F183" s="10"/>
      <c r="G183" s="10"/>
      <c r="M183" s="13"/>
      <c r="N183" s="13"/>
      <c r="O183" s="13"/>
      <c r="P183" s="11"/>
      <c r="Q183" s="13"/>
      <c r="R183" s="13"/>
      <c r="S183" s="13"/>
      <c r="T183" s="13"/>
      <c r="U183" s="13"/>
      <c r="V183" s="13"/>
      <c r="Y183" s="14"/>
      <c r="Z183" s="15"/>
    </row>
    <row r="184" spans="1:26" x14ac:dyDescent="0.25">
      <c r="A184" s="12"/>
      <c r="B184" s="12"/>
      <c r="C184" s="10"/>
      <c r="D184" s="10"/>
      <c r="E184" s="10"/>
      <c r="F184" s="10"/>
      <c r="G184" s="10"/>
      <c r="M184" s="13"/>
      <c r="N184" s="13"/>
      <c r="O184" s="13"/>
      <c r="P184" s="11"/>
      <c r="Q184" s="13"/>
      <c r="R184" s="13"/>
      <c r="S184" s="13"/>
      <c r="T184" s="13"/>
      <c r="U184" s="13"/>
      <c r="V184" s="13"/>
      <c r="Y184" s="14"/>
      <c r="Z184" s="15"/>
    </row>
    <row r="185" spans="1:26" x14ac:dyDescent="0.25">
      <c r="A185" s="12"/>
      <c r="B185" s="12"/>
      <c r="C185" s="10"/>
      <c r="D185" s="10"/>
      <c r="E185" s="10"/>
      <c r="F185" s="10"/>
      <c r="G185" s="10"/>
      <c r="M185" s="13"/>
      <c r="N185" s="13"/>
      <c r="O185" s="13"/>
      <c r="P185" s="11"/>
      <c r="Q185" s="13"/>
      <c r="R185" s="13"/>
      <c r="S185" s="13"/>
      <c r="T185" s="13"/>
      <c r="U185" s="13"/>
      <c r="V185" s="13"/>
      <c r="Y185" s="14"/>
      <c r="Z185" s="15"/>
    </row>
    <row r="186" spans="1:26" x14ac:dyDescent="0.25">
      <c r="A186" s="12"/>
      <c r="B186" s="12"/>
      <c r="C186" s="10"/>
      <c r="D186" s="10"/>
      <c r="E186" s="10"/>
      <c r="F186" s="10"/>
      <c r="G186" s="10"/>
      <c r="M186" s="13"/>
      <c r="N186" s="13"/>
      <c r="O186" s="13"/>
      <c r="P186" s="11"/>
      <c r="Q186" s="13"/>
      <c r="R186" s="13"/>
      <c r="S186" s="13"/>
      <c r="T186" s="13"/>
      <c r="U186" s="13"/>
      <c r="V186" s="13"/>
      <c r="Y186" s="14"/>
      <c r="Z186" s="15"/>
    </row>
    <row r="187" spans="1:26" x14ac:dyDescent="0.25">
      <c r="A187" s="12"/>
      <c r="B187" s="12"/>
      <c r="C187" s="10"/>
      <c r="D187" s="10"/>
      <c r="E187" s="10"/>
      <c r="F187" s="10"/>
      <c r="G187" s="10"/>
      <c r="M187" s="13"/>
      <c r="N187" s="13"/>
      <c r="O187" s="13"/>
      <c r="P187" s="11"/>
      <c r="Q187" s="13"/>
      <c r="R187" s="13"/>
      <c r="S187" s="13"/>
      <c r="T187" s="13"/>
      <c r="U187" s="13"/>
      <c r="V187" s="13"/>
      <c r="Y187" s="14"/>
      <c r="Z187" s="15"/>
    </row>
    <row r="188" spans="1:26" x14ac:dyDescent="0.25">
      <c r="A188" s="12"/>
      <c r="B188" s="12"/>
      <c r="C188" s="10"/>
      <c r="D188" s="10"/>
      <c r="E188" s="10"/>
      <c r="F188" s="10"/>
      <c r="G188" s="10"/>
      <c r="M188" s="13"/>
      <c r="N188" s="13"/>
      <c r="O188" s="13"/>
      <c r="P188" s="11"/>
      <c r="Q188" s="13"/>
      <c r="R188" s="13"/>
      <c r="S188" s="13"/>
      <c r="T188" s="13"/>
      <c r="U188" s="13"/>
      <c r="V188" s="13"/>
      <c r="Y188" s="14"/>
      <c r="Z188" s="15"/>
    </row>
    <row r="189" spans="1:26" x14ac:dyDescent="0.25">
      <c r="A189" s="12"/>
      <c r="B189" s="12"/>
      <c r="C189" s="10"/>
      <c r="D189" s="10"/>
      <c r="E189" s="10"/>
      <c r="F189" s="10"/>
      <c r="G189" s="10"/>
      <c r="M189" s="13"/>
      <c r="N189" s="13"/>
      <c r="O189" s="13"/>
      <c r="P189" s="11"/>
      <c r="Q189" s="13"/>
      <c r="R189" s="13"/>
      <c r="S189" s="13"/>
      <c r="T189" s="13"/>
      <c r="U189" s="13"/>
      <c r="V189" s="13"/>
      <c r="Y189" s="14"/>
      <c r="Z189" s="15"/>
    </row>
    <row r="190" spans="1:26" x14ac:dyDescent="0.25">
      <c r="A190" s="12"/>
      <c r="B190" s="12"/>
      <c r="C190" s="10"/>
      <c r="D190" s="10"/>
      <c r="E190" s="10"/>
      <c r="F190" s="10"/>
      <c r="G190" s="10"/>
      <c r="M190" s="13"/>
      <c r="N190" s="13"/>
      <c r="O190" s="13"/>
      <c r="P190" s="11"/>
      <c r="Q190" s="13"/>
      <c r="R190" s="13"/>
      <c r="S190" s="13"/>
      <c r="T190" s="13"/>
      <c r="U190" s="13"/>
      <c r="V190" s="13"/>
      <c r="Y190" s="14"/>
      <c r="Z190" s="15"/>
    </row>
    <row r="191" spans="1:26" x14ac:dyDescent="0.25">
      <c r="A191" s="12"/>
      <c r="B191" s="12"/>
      <c r="C191" s="10"/>
      <c r="D191" s="10"/>
      <c r="E191" s="10"/>
      <c r="F191" s="10"/>
      <c r="G191" s="10"/>
      <c r="M191" s="13"/>
      <c r="N191" s="13"/>
      <c r="O191" s="13"/>
      <c r="P191" s="11"/>
      <c r="Q191" s="13"/>
      <c r="R191" s="13"/>
      <c r="S191" s="13"/>
      <c r="T191" s="13"/>
      <c r="U191" s="13"/>
      <c r="V191" s="13"/>
      <c r="Y191" s="14"/>
      <c r="Z191" s="15"/>
    </row>
    <row r="192" spans="1:26" x14ac:dyDescent="0.25">
      <c r="A192" s="12"/>
      <c r="B192" s="12"/>
      <c r="C192" s="10"/>
      <c r="D192" s="10"/>
      <c r="E192" s="10"/>
      <c r="F192" s="10"/>
      <c r="G192" s="10"/>
      <c r="M192" s="13"/>
      <c r="N192" s="13"/>
      <c r="O192" s="13"/>
      <c r="P192" s="11"/>
      <c r="Q192" s="13"/>
      <c r="R192" s="13"/>
      <c r="S192" s="13"/>
      <c r="T192" s="13"/>
      <c r="U192" s="13"/>
      <c r="V192" s="13"/>
      <c r="Y192" s="14"/>
      <c r="Z192" s="15"/>
    </row>
    <row r="193" spans="1:26" x14ac:dyDescent="0.25">
      <c r="A193" s="12"/>
      <c r="B193" s="12"/>
      <c r="C193" s="10"/>
      <c r="D193" s="10"/>
      <c r="E193" s="10"/>
      <c r="F193" s="10"/>
      <c r="G193" s="10"/>
      <c r="M193" s="13"/>
      <c r="N193" s="13"/>
      <c r="O193" s="13"/>
      <c r="P193" s="11"/>
      <c r="Q193" s="13"/>
      <c r="R193" s="13"/>
      <c r="S193" s="13"/>
      <c r="T193" s="13"/>
      <c r="U193" s="13"/>
      <c r="V193" s="13"/>
      <c r="Y193" s="14"/>
      <c r="Z193" s="15"/>
    </row>
    <row r="194" spans="1:26" x14ac:dyDescent="0.25">
      <c r="A194" s="12"/>
      <c r="B194" s="12"/>
      <c r="C194" s="10"/>
      <c r="D194" s="10"/>
      <c r="E194" s="10"/>
      <c r="F194" s="10"/>
      <c r="G194" s="10"/>
      <c r="M194" s="13"/>
      <c r="N194" s="13"/>
      <c r="O194" s="13"/>
      <c r="P194" s="11"/>
      <c r="Q194" s="13"/>
      <c r="R194" s="13"/>
      <c r="S194" s="13"/>
      <c r="T194" s="13"/>
      <c r="U194" s="13"/>
      <c r="V194" s="13"/>
      <c r="Y194" s="14"/>
      <c r="Z194" s="15"/>
    </row>
    <row r="195" spans="1:26" x14ac:dyDescent="0.25">
      <c r="A195" s="12"/>
      <c r="B195" s="12"/>
      <c r="C195" s="10"/>
      <c r="D195" s="10"/>
      <c r="E195" s="10"/>
      <c r="F195" s="10"/>
      <c r="G195" s="10"/>
      <c r="M195" s="13"/>
      <c r="N195" s="13"/>
      <c r="O195" s="13"/>
      <c r="P195" s="11"/>
      <c r="Q195" s="13"/>
      <c r="R195" s="13"/>
      <c r="S195" s="13"/>
      <c r="T195" s="13"/>
      <c r="U195" s="13"/>
      <c r="V195" s="13"/>
      <c r="Y195" s="14"/>
      <c r="Z195" s="15"/>
    </row>
    <row r="196" spans="1:26" x14ac:dyDescent="0.25">
      <c r="A196" s="12"/>
      <c r="B196" s="12"/>
      <c r="C196" s="10"/>
      <c r="D196" s="10"/>
      <c r="E196" s="10"/>
      <c r="F196" s="10"/>
      <c r="G196" s="10"/>
      <c r="M196" s="13"/>
      <c r="N196" s="13"/>
      <c r="O196" s="13"/>
      <c r="P196" s="11"/>
      <c r="Q196" s="13"/>
      <c r="R196" s="13"/>
      <c r="S196" s="13"/>
      <c r="T196" s="13"/>
      <c r="U196" s="13"/>
      <c r="V196" s="13"/>
      <c r="Y196" s="14"/>
      <c r="Z196" s="15"/>
    </row>
    <row r="197" spans="1:26" x14ac:dyDescent="0.25">
      <c r="A197" s="12"/>
      <c r="B197" s="12"/>
      <c r="C197" s="10"/>
      <c r="D197" s="10"/>
      <c r="E197" s="10"/>
      <c r="F197" s="10"/>
      <c r="G197" s="10"/>
      <c r="M197" s="13"/>
      <c r="N197" s="13"/>
      <c r="O197" s="13"/>
      <c r="P197" s="11"/>
      <c r="Q197" s="13"/>
      <c r="R197" s="13"/>
      <c r="S197" s="13"/>
      <c r="T197" s="13"/>
      <c r="U197" s="13"/>
      <c r="V197" s="13"/>
      <c r="Y197" s="14"/>
      <c r="Z197" s="15"/>
    </row>
    <row r="198" spans="1:26" x14ac:dyDescent="0.25">
      <c r="A198" s="12"/>
      <c r="B198" s="12"/>
      <c r="C198" s="10"/>
      <c r="D198" s="10"/>
      <c r="E198" s="10"/>
      <c r="F198" s="10"/>
      <c r="G198" s="10"/>
      <c r="M198" s="13"/>
      <c r="N198" s="13"/>
      <c r="O198" s="13"/>
      <c r="P198" s="11"/>
      <c r="Q198" s="13"/>
      <c r="R198" s="13"/>
      <c r="S198" s="13"/>
      <c r="T198" s="13"/>
      <c r="U198" s="13"/>
      <c r="V198" s="13"/>
      <c r="Y198" s="14"/>
      <c r="Z198" s="15"/>
    </row>
    <row r="199" spans="1:26" x14ac:dyDescent="0.25">
      <c r="A199" s="12"/>
      <c r="B199" s="12"/>
      <c r="C199" s="10"/>
      <c r="D199" s="10"/>
      <c r="E199" s="10"/>
      <c r="F199" s="10"/>
      <c r="G199" s="10"/>
      <c r="M199" s="13"/>
      <c r="N199" s="13"/>
      <c r="O199" s="13"/>
      <c r="P199" s="11"/>
      <c r="Q199" s="13"/>
      <c r="R199" s="13"/>
      <c r="S199" s="13"/>
      <c r="T199" s="13"/>
      <c r="U199" s="13"/>
      <c r="V199" s="13"/>
      <c r="Y199" s="14"/>
      <c r="Z199" s="15"/>
    </row>
    <row r="200" spans="1:26" x14ac:dyDescent="0.25">
      <c r="A200" s="12"/>
      <c r="B200" s="12"/>
      <c r="C200" s="10"/>
      <c r="D200" s="10"/>
      <c r="E200" s="10"/>
      <c r="F200" s="10"/>
      <c r="G200" s="10"/>
      <c r="M200" s="13"/>
      <c r="N200" s="13"/>
      <c r="O200" s="13"/>
      <c r="P200" s="11"/>
      <c r="Q200" s="13"/>
      <c r="R200" s="13"/>
      <c r="S200" s="13"/>
      <c r="T200" s="13"/>
      <c r="U200" s="13"/>
      <c r="V200" s="13"/>
      <c r="Y200" s="14"/>
      <c r="Z200" s="15"/>
    </row>
    <row r="201" spans="1:26" x14ac:dyDescent="0.25">
      <c r="A201" s="12"/>
      <c r="B201" s="12"/>
      <c r="C201" s="10"/>
      <c r="D201" s="10"/>
      <c r="E201" s="10"/>
      <c r="F201" s="10"/>
      <c r="G201" s="10"/>
      <c r="M201" s="13"/>
      <c r="N201" s="13"/>
      <c r="O201" s="13"/>
      <c r="P201" s="11"/>
      <c r="Q201" s="13"/>
      <c r="R201" s="13"/>
      <c r="S201" s="13"/>
      <c r="T201" s="13"/>
      <c r="U201" s="13"/>
      <c r="V201" s="13"/>
      <c r="Y201" s="14"/>
      <c r="Z201" s="15"/>
    </row>
    <row r="202" spans="1:26" x14ac:dyDescent="0.25">
      <c r="A202" s="12"/>
      <c r="B202" s="12"/>
      <c r="C202" s="10"/>
      <c r="D202" s="10"/>
      <c r="E202" s="10"/>
      <c r="F202" s="10"/>
      <c r="G202" s="10"/>
      <c r="M202" s="13"/>
      <c r="N202" s="13"/>
      <c r="O202" s="13"/>
      <c r="P202" s="11"/>
      <c r="Q202" s="13"/>
      <c r="R202" s="13"/>
      <c r="S202" s="13"/>
      <c r="T202" s="13"/>
      <c r="U202" s="13"/>
      <c r="V202" s="13"/>
      <c r="Y202" s="14"/>
      <c r="Z202" s="15"/>
    </row>
    <row r="203" spans="1:26" x14ac:dyDescent="0.25">
      <c r="A203" s="12"/>
      <c r="B203" s="12"/>
      <c r="C203" s="10"/>
      <c r="D203" s="10"/>
      <c r="E203" s="10"/>
      <c r="F203" s="10"/>
      <c r="G203" s="10"/>
      <c r="M203" s="13"/>
      <c r="N203" s="13"/>
      <c r="O203" s="13"/>
      <c r="P203" s="11"/>
      <c r="Q203" s="13"/>
      <c r="R203" s="13"/>
      <c r="S203" s="13"/>
      <c r="T203" s="13"/>
      <c r="U203" s="13"/>
      <c r="V203" s="13"/>
      <c r="Y203" s="14"/>
      <c r="Z203" s="15"/>
    </row>
    <row r="204" spans="1:26" x14ac:dyDescent="0.25">
      <c r="A204" s="12"/>
      <c r="B204" s="12"/>
      <c r="C204" s="10"/>
      <c r="D204" s="10"/>
      <c r="E204" s="10"/>
      <c r="F204" s="10"/>
      <c r="G204" s="10"/>
      <c r="M204" s="13"/>
      <c r="N204" s="13"/>
      <c r="O204" s="13"/>
      <c r="P204" s="11"/>
      <c r="Q204" s="13"/>
      <c r="R204" s="13"/>
      <c r="S204" s="13"/>
      <c r="T204" s="13"/>
      <c r="U204" s="13"/>
      <c r="V204" s="13"/>
      <c r="Y204" s="14"/>
      <c r="Z204" s="15"/>
    </row>
    <row r="205" spans="1:26" x14ac:dyDescent="0.25">
      <c r="A205" s="12"/>
      <c r="B205" s="12"/>
      <c r="C205" s="10"/>
      <c r="D205" s="10"/>
      <c r="E205" s="10"/>
      <c r="F205" s="10"/>
      <c r="G205" s="10"/>
      <c r="M205" s="13"/>
      <c r="N205" s="13"/>
      <c r="O205" s="13"/>
      <c r="P205" s="11"/>
      <c r="Q205" s="13"/>
      <c r="R205" s="13"/>
      <c r="S205" s="13"/>
      <c r="T205" s="13"/>
      <c r="U205" s="13"/>
      <c r="V205" s="13"/>
      <c r="Y205" s="14"/>
      <c r="Z205" s="15"/>
    </row>
    <row r="206" spans="1:26" x14ac:dyDescent="0.25">
      <c r="A206" s="12"/>
      <c r="B206" s="12"/>
      <c r="C206" s="10"/>
      <c r="D206" s="10"/>
      <c r="E206" s="10"/>
      <c r="F206" s="10"/>
      <c r="G206" s="10"/>
      <c r="M206" s="13"/>
      <c r="N206" s="13"/>
      <c r="O206" s="13"/>
      <c r="P206" s="11"/>
      <c r="Q206" s="13"/>
      <c r="R206" s="13"/>
      <c r="S206" s="13"/>
      <c r="T206" s="13"/>
      <c r="U206" s="13"/>
      <c r="V206" s="13"/>
      <c r="Y206" s="14"/>
      <c r="Z206" s="15"/>
    </row>
    <row r="207" spans="1:26" x14ac:dyDescent="0.25">
      <c r="A207" s="12"/>
      <c r="B207" s="12"/>
      <c r="C207" s="10"/>
      <c r="D207" s="10"/>
      <c r="E207" s="10"/>
      <c r="F207" s="10"/>
      <c r="G207" s="10"/>
      <c r="M207" s="13"/>
      <c r="N207" s="13"/>
      <c r="O207" s="13"/>
      <c r="P207" s="11"/>
      <c r="Q207" s="13"/>
      <c r="R207" s="13"/>
      <c r="S207" s="13"/>
      <c r="T207" s="13"/>
      <c r="U207" s="13"/>
      <c r="V207" s="13"/>
      <c r="Y207" s="14"/>
      <c r="Z207" s="15"/>
    </row>
    <row r="208" spans="1:26" x14ac:dyDescent="0.25">
      <c r="A208" s="12"/>
      <c r="B208" s="12"/>
      <c r="C208" s="10"/>
      <c r="D208" s="10"/>
      <c r="E208" s="10"/>
      <c r="F208" s="10"/>
      <c r="G208" s="10"/>
      <c r="M208" s="13"/>
      <c r="N208" s="13"/>
      <c r="O208" s="13"/>
      <c r="P208" s="11"/>
      <c r="Q208" s="13"/>
      <c r="R208" s="13"/>
      <c r="S208" s="13"/>
      <c r="T208" s="13"/>
      <c r="U208" s="13"/>
      <c r="V208" s="13"/>
      <c r="Y208" s="14"/>
      <c r="Z208" s="15"/>
    </row>
    <row r="209" spans="1:26" x14ac:dyDescent="0.25">
      <c r="A209" s="12"/>
      <c r="B209" s="12"/>
      <c r="C209" s="10"/>
      <c r="D209" s="10"/>
      <c r="E209" s="10"/>
      <c r="F209" s="10"/>
      <c r="G209" s="10"/>
      <c r="M209" s="13"/>
      <c r="N209" s="13"/>
      <c r="O209" s="13"/>
      <c r="P209" s="11"/>
      <c r="Q209" s="13"/>
      <c r="R209" s="13"/>
      <c r="S209" s="13"/>
      <c r="T209" s="13"/>
      <c r="U209" s="13"/>
      <c r="V209" s="13"/>
      <c r="Y209" s="14"/>
      <c r="Z209" s="15"/>
    </row>
    <row r="210" spans="1:26" x14ac:dyDescent="0.25">
      <c r="A210" s="12"/>
      <c r="B210" s="12"/>
      <c r="C210" s="10"/>
      <c r="D210" s="10"/>
      <c r="E210" s="10"/>
      <c r="F210" s="10"/>
      <c r="G210" s="10"/>
      <c r="M210" s="13"/>
      <c r="N210" s="13"/>
      <c r="O210" s="13"/>
      <c r="P210" s="11"/>
      <c r="Q210" s="13"/>
      <c r="R210" s="13"/>
      <c r="S210" s="13"/>
      <c r="T210" s="13"/>
      <c r="U210" s="13"/>
      <c r="V210" s="13"/>
      <c r="Y210" s="14"/>
      <c r="Z210" s="15"/>
    </row>
    <row r="211" spans="1:26" x14ac:dyDescent="0.25">
      <c r="A211" s="12"/>
      <c r="B211" s="12"/>
      <c r="C211" s="10"/>
      <c r="D211" s="10"/>
      <c r="E211" s="10"/>
      <c r="F211" s="10"/>
      <c r="G211" s="10"/>
      <c r="M211" s="13"/>
      <c r="N211" s="13"/>
      <c r="O211" s="13"/>
      <c r="P211" s="11"/>
      <c r="Q211" s="13"/>
      <c r="R211" s="13"/>
      <c r="S211" s="13"/>
      <c r="T211" s="13"/>
      <c r="U211" s="13"/>
      <c r="V211" s="13"/>
      <c r="Y211" s="14"/>
      <c r="Z211" s="15"/>
    </row>
    <row r="212" spans="1:26" x14ac:dyDescent="0.25">
      <c r="A212" s="12"/>
      <c r="B212" s="12"/>
      <c r="C212" s="10"/>
      <c r="D212" s="10"/>
      <c r="E212" s="10"/>
      <c r="F212" s="10"/>
      <c r="G212" s="10"/>
      <c r="M212" s="13"/>
      <c r="N212" s="13"/>
      <c r="O212" s="13"/>
      <c r="P212" s="11"/>
      <c r="Q212" s="13"/>
      <c r="R212" s="13"/>
      <c r="S212" s="13"/>
      <c r="T212" s="13"/>
      <c r="U212" s="13"/>
      <c r="V212" s="13"/>
      <c r="Y212" s="14"/>
      <c r="Z212" s="15"/>
    </row>
    <row r="213" spans="1:26" x14ac:dyDescent="0.25">
      <c r="A213" s="12"/>
      <c r="B213" s="12"/>
      <c r="C213" s="10"/>
      <c r="D213" s="10"/>
      <c r="E213" s="10"/>
      <c r="F213" s="10"/>
      <c r="G213" s="10"/>
      <c r="M213" s="13"/>
      <c r="N213" s="13"/>
      <c r="O213" s="13"/>
      <c r="P213" s="11"/>
      <c r="Q213" s="13"/>
      <c r="R213" s="13"/>
      <c r="S213" s="13"/>
      <c r="T213" s="13"/>
      <c r="U213" s="13"/>
      <c r="V213" s="13"/>
      <c r="Y213" s="14"/>
      <c r="Z213" s="15"/>
    </row>
    <row r="214" spans="1:26" x14ac:dyDescent="0.25">
      <c r="A214" s="12"/>
      <c r="B214" s="12"/>
      <c r="C214" s="10"/>
      <c r="D214" s="10"/>
      <c r="E214" s="10"/>
      <c r="F214" s="10"/>
      <c r="G214" s="10"/>
      <c r="M214" s="13"/>
      <c r="N214" s="13"/>
      <c r="O214" s="13"/>
      <c r="P214" s="11"/>
      <c r="Q214" s="13"/>
      <c r="R214" s="13"/>
      <c r="S214" s="13"/>
      <c r="T214" s="13"/>
      <c r="U214" s="13"/>
      <c r="V214" s="13"/>
      <c r="Y214" s="14"/>
      <c r="Z214" s="15"/>
    </row>
    <row r="215" spans="1:26" x14ac:dyDescent="0.25">
      <c r="A215" s="12"/>
      <c r="B215" s="12"/>
      <c r="C215" s="10"/>
      <c r="D215" s="10"/>
      <c r="E215" s="10"/>
      <c r="F215" s="10"/>
      <c r="G215" s="10"/>
      <c r="M215" s="13"/>
      <c r="N215" s="13"/>
      <c r="O215" s="13"/>
      <c r="P215" s="11"/>
      <c r="Q215" s="13"/>
      <c r="R215" s="13"/>
      <c r="S215" s="13"/>
      <c r="T215" s="13"/>
      <c r="U215" s="13"/>
      <c r="V215" s="13"/>
      <c r="Y215" s="14"/>
      <c r="Z215" s="15"/>
    </row>
    <row r="216" spans="1:26" x14ac:dyDescent="0.25">
      <c r="A216" s="12"/>
      <c r="B216" s="12"/>
      <c r="C216" s="10"/>
      <c r="D216" s="10"/>
      <c r="E216" s="10"/>
      <c r="F216" s="10"/>
      <c r="G216" s="10"/>
      <c r="M216" s="13"/>
      <c r="N216" s="13"/>
      <c r="O216" s="13"/>
      <c r="P216" s="11"/>
      <c r="Q216" s="13"/>
      <c r="R216" s="13"/>
      <c r="S216" s="13"/>
      <c r="T216" s="13"/>
      <c r="U216" s="13"/>
      <c r="V216" s="13"/>
      <c r="Y216" s="14"/>
      <c r="Z216" s="15"/>
    </row>
    <row r="217" spans="1:26" x14ac:dyDescent="0.25">
      <c r="A217" s="12"/>
      <c r="B217" s="12"/>
      <c r="C217" s="10"/>
      <c r="D217" s="10"/>
      <c r="E217" s="10"/>
      <c r="F217" s="10"/>
      <c r="G217" s="10"/>
      <c r="M217" s="13"/>
      <c r="N217" s="13"/>
      <c r="O217" s="13"/>
      <c r="P217" s="11"/>
      <c r="Q217" s="13"/>
      <c r="R217" s="13"/>
      <c r="S217" s="13"/>
      <c r="T217" s="13"/>
      <c r="U217" s="13"/>
      <c r="V217" s="13"/>
      <c r="Y217" s="14"/>
      <c r="Z217" s="15"/>
    </row>
    <row r="218" spans="1:26" x14ac:dyDescent="0.25">
      <c r="A218" s="12"/>
      <c r="B218" s="12"/>
      <c r="C218" s="10"/>
      <c r="D218" s="10"/>
      <c r="E218" s="10"/>
      <c r="F218" s="10"/>
      <c r="G218" s="10"/>
      <c r="M218" s="13"/>
      <c r="N218" s="13"/>
      <c r="O218" s="13"/>
      <c r="P218" s="11"/>
      <c r="Q218" s="13"/>
      <c r="R218" s="13"/>
      <c r="S218" s="13"/>
      <c r="T218" s="13"/>
      <c r="U218" s="13"/>
      <c r="V218" s="13"/>
      <c r="Y218" s="14"/>
      <c r="Z218" s="15"/>
    </row>
    <row r="219" spans="1:26" x14ac:dyDescent="0.25">
      <c r="A219" s="12"/>
      <c r="B219" s="12"/>
      <c r="C219" s="10"/>
      <c r="D219" s="10"/>
      <c r="E219" s="10"/>
      <c r="F219" s="10"/>
      <c r="G219" s="10"/>
      <c r="M219" s="13"/>
      <c r="N219" s="13"/>
      <c r="O219" s="13"/>
      <c r="P219" s="11"/>
      <c r="Q219" s="13"/>
      <c r="R219" s="13"/>
      <c r="S219" s="13"/>
      <c r="T219" s="13"/>
      <c r="U219" s="13"/>
      <c r="V219" s="13"/>
      <c r="Y219" s="14"/>
      <c r="Z219" s="15"/>
    </row>
    <row r="220" spans="1:26" x14ac:dyDescent="0.25">
      <c r="A220" s="12"/>
      <c r="B220" s="12"/>
      <c r="C220" s="10"/>
      <c r="D220" s="10"/>
      <c r="E220" s="10"/>
      <c r="F220" s="10"/>
      <c r="G220" s="10"/>
      <c r="M220" s="13"/>
      <c r="N220" s="13"/>
      <c r="O220" s="13"/>
      <c r="P220" s="11"/>
      <c r="Q220" s="13"/>
      <c r="R220" s="13"/>
      <c r="S220" s="13"/>
      <c r="T220" s="13"/>
      <c r="U220" s="13"/>
      <c r="V220" s="13"/>
      <c r="Y220" s="14"/>
      <c r="Z220" s="15"/>
    </row>
    <row r="221" spans="1:26" x14ac:dyDescent="0.25">
      <c r="A221" s="12"/>
      <c r="B221" s="12"/>
      <c r="C221" s="10"/>
      <c r="D221" s="10"/>
      <c r="E221" s="10"/>
      <c r="F221" s="10"/>
      <c r="G221" s="10"/>
      <c r="M221" s="13"/>
      <c r="N221" s="13"/>
      <c r="O221" s="13"/>
      <c r="P221" s="11"/>
      <c r="Q221" s="13"/>
      <c r="R221" s="13"/>
      <c r="S221" s="13"/>
      <c r="T221" s="13"/>
      <c r="U221" s="13"/>
      <c r="V221" s="13"/>
      <c r="Y221" s="14"/>
      <c r="Z221" s="15"/>
    </row>
    <row r="222" spans="1:26" x14ac:dyDescent="0.25">
      <c r="A222" s="12"/>
      <c r="B222" s="12"/>
      <c r="C222" s="10"/>
      <c r="D222" s="10"/>
      <c r="E222" s="10"/>
      <c r="F222" s="10"/>
      <c r="G222" s="10"/>
      <c r="M222" s="13"/>
      <c r="N222" s="13"/>
      <c r="O222" s="13"/>
      <c r="P222" s="11"/>
      <c r="Q222" s="13"/>
      <c r="R222" s="13"/>
      <c r="S222" s="13"/>
      <c r="T222" s="13"/>
      <c r="U222" s="13"/>
      <c r="V222" s="13"/>
      <c r="Y222" s="14"/>
      <c r="Z222" s="15"/>
    </row>
    <row r="223" spans="1:26" x14ac:dyDescent="0.25">
      <c r="A223" s="12"/>
      <c r="B223" s="12"/>
      <c r="C223" s="10"/>
      <c r="D223" s="10"/>
      <c r="E223" s="10"/>
      <c r="F223" s="10"/>
      <c r="G223" s="10"/>
      <c r="M223" s="13"/>
      <c r="N223" s="13"/>
      <c r="O223" s="13"/>
      <c r="P223" s="11"/>
      <c r="Q223" s="13"/>
      <c r="R223" s="13"/>
      <c r="S223" s="13"/>
      <c r="T223" s="13"/>
      <c r="U223" s="13"/>
      <c r="V223" s="13"/>
      <c r="Y223" s="14"/>
      <c r="Z223" s="15"/>
    </row>
    <row r="224" spans="1:26" x14ac:dyDescent="0.25">
      <c r="A224" s="12"/>
      <c r="B224" s="12"/>
      <c r="C224" s="10"/>
      <c r="D224" s="10"/>
      <c r="E224" s="10"/>
      <c r="F224" s="10"/>
      <c r="G224" s="10"/>
      <c r="M224" s="13"/>
      <c r="N224" s="13"/>
      <c r="O224" s="13"/>
      <c r="P224" s="11"/>
      <c r="Q224" s="13"/>
      <c r="R224" s="13"/>
      <c r="S224" s="13"/>
      <c r="T224" s="13"/>
      <c r="U224" s="13"/>
      <c r="V224" s="13"/>
      <c r="Y224" s="14"/>
      <c r="Z224" s="15"/>
    </row>
    <row r="225" spans="1:26" x14ac:dyDescent="0.25">
      <c r="A225" s="12"/>
      <c r="B225" s="12"/>
      <c r="C225" s="10"/>
      <c r="D225" s="10"/>
      <c r="E225" s="10"/>
      <c r="F225" s="10"/>
      <c r="G225" s="10"/>
      <c r="M225" s="13"/>
      <c r="N225" s="13"/>
      <c r="O225" s="13"/>
      <c r="P225" s="11"/>
      <c r="Q225" s="13"/>
      <c r="R225" s="13"/>
      <c r="S225" s="13"/>
      <c r="T225" s="13"/>
      <c r="U225" s="13"/>
      <c r="V225" s="13"/>
      <c r="Y225" s="14"/>
      <c r="Z225" s="15"/>
    </row>
    <row r="226" spans="1:26" x14ac:dyDescent="0.25">
      <c r="A226" s="12"/>
      <c r="B226" s="12"/>
      <c r="C226" s="10"/>
      <c r="D226" s="10"/>
      <c r="E226" s="10"/>
      <c r="F226" s="10"/>
      <c r="G226" s="10"/>
      <c r="M226" s="13"/>
      <c r="N226" s="13"/>
      <c r="O226" s="13"/>
      <c r="P226" s="11"/>
      <c r="Q226" s="13"/>
      <c r="R226" s="13"/>
      <c r="S226" s="13"/>
      <c r="T226" s="13"/>
      <c r="U226" s="13"/>
      <c r="V226" s="13"/>
      <c r="Y226" s="14"/>
      <c r="Z226" s="15"/>
    </row>
    <row r="227" spans="1:26" x14ac:dyDescent="0.25">
      <c r="A227" s="12"/>
      <c r="B227" s="12"/>
      <c r="C227" s="10"/>
      <c r="D227" s="10"/>
      <c r="E227" s="10"/>
      <c r="F227" s="10"/>
      <c r="G227" s="10"/>
      <c r="M227" s="13"/>
      <c r="N227" s="13"/>
      <c r="O227" s="13"/>
      <c r="P227" s="11"/>
      <c r="Q227" s="13"/>
      <c r="R227" s="13"/>
      <c r="S227" s="13"/>
      <c r="T227" s="13"/>
      <c r="U227" s="13"/>
      <c r="V227" s="13"/>
      <c r="Y227" s="14"/>
      <c r="Z227" s="15"/>
    </row>
    <row r="228" spans="1:26" x14ac:dyDescent="0.25">
      <c r="A228" s="12"/>
      <c r="B228" s="12"/>
      <c r="C228" s="10"/>
      <c r="D228" s="10"/>
      <c r="E228" s="10"/>
      <c r="F228" s="10"/>
      <c r="G228" s="10"/>
      <c r="M228" s="13"/>
      <c r="N228" s="13"/>
      <c r="O228" s="13"/>
      <c r="P228" s="11"/>
      <c r="Q228" s="13"/>
      <c r="R228" s="13"/>
      <c r="S228" s="13"/>
      <c r="T228" s="13"/>
      <c r="U228" s="13"/>
      <c r="V228" s="13"/>
      <c r="Y228" s="14"/>
      <c r="Z228" s="15"/>
    </row>
    <row r="229" spans="1:26" x14ac:dyDescent="0.25">
      <c r="A229" s="12"/>
      <c r="B229" s="12"/>
      <c r="C229" s="10"/>
      <c r="D229" s="10"/>
      <c r="E229" s="10"/>
      <c r="F229" s="10"/>
      <c r="G229" s="10"/>
      <c r="M229" s="13"/>
      <c r="N229" s="13"/>
      <c r="O229" s="13"/>
      <c r="P229" s="11"/>
      <c r="Q229" s="13"/>
      <c r="R229" s="13"/>
      <c r="S229" s="13"/>
      <c r="T229" s="13"/>
      <c r="U229" s="13"/>
      <c r="V229" s="13"/>
      <c r="Y229" s="14"/>
      <c r="Z229" s="15"/>
    </row>
    <row r="230" spans="1:26" x14ac:dyDescent="0.25">
      <c r="A230" s="12"/>
      <c r="B230" s="12"/>
      <c r="C230" s="10"/>
      <c r="D230" s="10"/>
      <c r="E230" s="10"/>
      <c r="F230" s="10"/>
      <c r="G230" s="10"/>
      <c r="M230" s="13"/>
      <c r="N230" s="13"/>
      <c r="O230" s="13"/>
      <c r="P230" s="11"/>
      <c r="Q230" s="13"/>
      <c r="R230" s="13"/>
      <c r="S230" s="13"/>
      <c r="T230" s="13"/>
      <c r="U230" s="13"/>
      <c r="V230" s="13"/>
      <c r="Y230" s="14"/>
      <c r="Z230" s="15"/>
    </row>
    <row r="231" spans="1:26" x14ac:dyDescent="0.25">
      <c r="A231" s="12"/>
      <c r="B231" s="12"/>
      <c r="C231" s="10"/>
      <c r="D231" s="10"/>
      <c r="E231" s="10"/>
      <c r="F231" s="10"/>
      <c r="G231" s="10"/>
      <c r="M231" s="13"/>
      <c r="N231" s="13"/>
      <c r="O231" s="13"/>
      <c r="P231" s="11"/>
      <c r="Q231" s="13"/>
      <c r="R231" s="13"/>
      <c r="S231" s="13"/>
      <c r="T231" s="13"/>
      <c r="U231" s="13"/>
      <c r="V231" s="13"/>
      <c r="Y231" s="14"/>
      <c r="Z231" s="15"/>
    </row>
    <row r="232" spans="1:26" x14ac:dyDescent="0.25">
      <c r="A232" s="12"/>
      <c r="B232" s="12"/>
      <c r="C232" s="10"/>
      <c r="D232" s="10"/>
      <c r="E232" s="10"/>
      <c r="F232" s="10"/>
      <c r="G232" s="10"/>
      <c r="M232" s="13"/>
      <c r="N232" s="13"/>
      <c r="O232" s="13"/>
      <c r="P232" s="11"/>
      <c r="Q232" s="13"/>
      <c r="R232" s="13"/>
      <c r="S232" s="13"/>
      <c r="T232" s="13"/>
      <c r="U232" s="13"/>
      <c r="V232" s="13"/>
      <c r="Y232" s="14"/>
      <c r="Z232" s="15"/>
    </row>
    <row r="233" spans="1:26" x14ac:dyDescent="0.25">
      <c r="A233" s="12"/>
      <c r="B233" s="12"/>
      <c r="C233" s="10"/>
      <c r="D233" s="10"/>
      <c r="E233" s="10"/>
      <c r="F233" s="10"/>
      <c r="G233" s="10"/>
      <c r="M233" s="13"/>
      <c r="N233" s="13"/>
      <c r="O233" s="13"/>
      <c r="P233" s="11"/>
      <c r="Q233" s="13"/>
      <c r="R233" s="13"/>
      <c r="S233" s="13"/>
      <c r="T233" s="13"/>
      <c r="U233" s="13"/>
      <c r="V233" s="13"/>
      <c r="Y233" s="14"/>
      <c r="Z233" s="15"/>
    </row>
    <row r="234" spans="1:26" x14ac:dyDescent="0.25">
      <c r="A234" s="12"/>
      <c r="B234" s="12"/>
      <c r="C234" s="10"/>
      <c r="D234" s="10"/>
      <c r="E234" s="10"/>
      <c r="F234" s="10"/>
      <c r="G234" s="10"/>
      <c r="M234" s="13"/>
      <c r="N234" s="13"/>
      <c r="O234" s="13"/>
      <c r="P234" s="11"/>
      <c r="Q234" s="13"/>
      <c r="R234" s="13"/>
      <c r="S234" s="13"/>
      <c r="T234" s="13"/>
      <c r="U234" s="13"/>
      <c r="V234" s="13"/>
      <c r="Y234" s="14"/>
      <c r="Z234" s="15"/>
    </row>
    <row r="235" spans="1:26" x14ac:dyDescent="0.25">
      <c r="A235" s="12"/>
      <c r="B235" s="12"/>
      <c r="C235" s="10"/>
      <c r="D235" s="10"/>
      <c r="E235" s="10"/>
      <c r="F235" s="10"/>
      <c r="G235" s="10"/>
      <c r="M235" s="13"/>
      <c r="N235" s="13"/>
      <c r="O235" s="13"/>
      <c r="P235" s="11"/>
      <c r="Q235" s="13"/>
      <c r="R235" s="13"/>
      <c r="S235" s="13"/>
      <c r="T235" s="13"/>
      <c r="U235" s="13"/>
      <c r="V235" s="13"/>
      <c r="Y235" s="14"/>
      <c r="Z235" s="15"/>
    </row>
    <row r="236" spans="1:26" x14ac:dyDescent="0.25">
      <c r="A236" s="12"/>
      <c r="B236" s="12"/>
      <c r="C236" s="10"/>
      <c r="D236" s="10"/>
      <c r="E236" s="10"/>
      <c r="F236" s="10"/>
      <c r="G236" s="10"/>
      <c r="M236" s="13"/>
      <c r="N236" s="13"/>
      <c r="O236" s="13"/>
      <c r="P236" s="11"/>
      <c r="Q236" s="13"/>
      <c r="R236" s="13"/>
      <c r="S236" s="13"/>
      <c r="T236" s="13"/>
      <c r="U236" s="13"/>
      <c r="V236" s="13"/>
      <c r="Y236" s="14"/>
      <c r="Z236" s="15"/>
    </row>
    <row r="237" spans="1:26" x14ac:dyDescent="0.25">
      <c r="A237" s="12"/>
      <c r="B237" s="12"/>
      <c r="C237" s="10"/>
      <c r="D237" s="10"/>
      <c r="E237" s="10"/>
      <c r="F237" s="10"/>
      <c r="G237" s="10"/>
      <c r="M237" s="13"/>
      <c r="N237" s="13"/>
      <c r="O237" s="13"/>
      <c r="P237" s="11"/>
      <c r="Q237" s="13"/>
      <c r="R237" s="13"/>
      <c r="S237" s="13"/>
      <c r="T237" s="13"/>
      <c r="U237" s="13"/>
      <c r="V237" s="13"/>
      <c r="Y237" s="14"/>
      <c r="Z237" s="15"/>
    </row>
    <row r="238" spans="1:26" x14ac:dyDescent="0.25">
      <c r="A238" s="12"/>
      <c r="B238" s="12"/>
      <c r="C238" s="10"/>
      <c r="D238" s="10"/>
      <c r="E238" s="10"/>
      <c r="F238" s="10"/>
      <c r="G238" s="10"/>
      <c r="M238" s="13"/>
      <c r="N238" s="13"/>
      <c r="O238" s="13"/>
      <c r="P238" s="11"/>
      <c r="Q238" s="13"/>
      <c r="R238" s="13"/>
      <c r="S238" s="13"/>
      <c r="T238" s="13"/>
      <c r="U238" s="13"/>
      <c r="V238" s="13"/>
      <c r="Y238" s="14"/>
      <c r="Z238" s="15"/>
    </row>
    <row r="239" spans="1:26" x14ac:dyDescent="0.25">
      <c r="A239" s="12"/>
      <c r="B239" s="12"/>
      <c r="C239" s="10"/>
      <c r="D239" s="10"/>
      <c r="E239" s="10"/>
      <c r="F239" s="10"/>
      <c r="G239" s="10"/>
      <c r="M239" s="13"/>
      <c r="N239" s="13"/>
      <c r="O239" s="13"/>
      <c r="P239" s="11"/>
      <c r="Q239" s="13"/>
      <c r="R239" s="13"/>
      <c r="S239" s="13"/>
      <c r="T239" s="13"/>
      <c r="U239" s="13"/>
      <c r="V239" s="13"/>
      <c r="Y239" s="14"/>
      <c r="Z239" s="15"/>
    </row>
    <row r="240" spans="1:26" x14ac:dyDescent="0.25">
      <c r="A240" s="12"/>
      <c r="B240" s="12"/>
      <c r="C240" s="10"/>
      <c r="D240" s="10"/>
      <c r="E240" s="10"/>
      <c r="F240" s="10"/>
      <c r="G240" s="10"/>
      <c r="M240" s="13"/>
      <c r="N240" s="13"/>
      <c r="O240" s="13"/>
      <c r="P240" s="11"/>
      <c r="Q240" s="13"/>
      <c r="R240" s="13"/>
      <c r="S240" s="13"/>
      <c r="T240" s="13"/>
      <c r="U240" s="13"/>
      <c r="V240" s="13"/>
      <c r="Y240" s="14"/>
      <c r="Z240" s="15"/>
    </row>
    <row r="241" spans="1:26" x14ac:dyDescent="0.25">
      <c r="A241" s="12"/>
      <c r="B241" s="12"/>
      <c r="C241" s="10"/>
      <c r="D241" s="10"/>
      <c r="E241" s="10"/>
      <c r="F241" s="10"/>
      <c r="G241" s="10"/>
      <c r="M241" s="13"/>
      <c r="N241" s="13"/>
      <c r="O241" s="13"/>
      <c r="P241" s="11"/>
      <c r="Q241" s="13"/>
      <c r="R241" s="13"/>
      <c r="S241" s="13"/>
      <c r="T241" s="13"/>
      <c r="U241" s="13"/>
      <c r="V241" s="13"/>
      <c r="Y241" s="14"/>
      <c r="Z241" s="15"/>
    </row>
    <row r="242" spans="1:26" x14ac:dyDescent="0.25">
      <c r="A242" s="12"/>
      <c r="B242" s="12"/>
      <c r="C242" s="10"/>
      <c r="D242" s="10"/>
      <c r="E242" s="10"/>
      <c r="F242" s="10"/>
      <c r="G242" s="10"/>
      <c r="M242" s="13"/>
      <c r="N242" s="13"/>
      <c r="O242" s="13"/>
      <c r="P242" s="11"/>
      <c r="Q242" s="13"/>
      <c r="R242" s="13"/>
      <c r="S242" s="13"/>
      <c r="T242" s="13"/>
      <c r="U242" s="13"/>
      <c r="V242" s="13"/>
      <c r="Y242" s="14"/>
      <c r="Z242" s="15"/>
    </row>
    <row r="243" spans="1:26" x14ac:dyDescent="0.25">
      <c r="A243" s="12"/>
      <c r="B243" s="12"/>
      <c r="C243" s="10"/>
      <c r="D243" s="10"/>
      <c r="E243" s="10"/>
      <c r="F243" s="10"/>
      <c r="G243" s="10"/>
      <c r="M243" s="13"/>
      <c r="N243" s="13"/>
      <c r="O243" s="13"/>
      <c r="P243" s="11"/>
      <c r="Q243" s="13"/>
      <c r="R243" s="13"/>
      <c r="S243" s="13"/>
      <c r="T243" s="13"/>
      <c r="U243" s="13"/>
      <c r="V243" s="13"/>
      <c r="Y243" s="14"/>
      <c r="Z243" s="15"/>
    </row>
    <row r="244" spans="1:26" x14ac:dyDescent="0.25">
      <c r="A244" s="12"/>
      <c r="B244" s="12"/>
      <c r="C244" s="10"/>
      <c r="D244" s="10"/>
      <c r="E244" s="10"/>
      <c r="F244" s="10"/>
      <c r="G244" s="10"/>
      <c r="M244" s="13"/>
      <c r="N244" s="13"/>
      <c r="O244" s="13"/>
      <c r="P244" s="11"/>
      <c r="Q244" s="13"/>
      <c r="R244" s="13"/>
      <c r="S244" s="13"/>
      <c r="T244" s="13"/>
      <c r="U244" s="13"/>
      <c r="V244" s="13"/>
      <c r="Y244" s="14"/>
      <c r="Z244" s="15"/>
    </row>
    <row r="245" spans="1:26" x14ac:dyDescent="0.25">
      <c r="A245" s="12"/>
      <c r="B245" s="12"/>
      <c r="C245" s="10"/>
      <c r="D245" s="10"/>
      <c r="E245" s="10"/>
      <c r="F245" s="10"/>
      <c r="G245" s="10"/>
      <c r="M245" s="13"/>
      <c r="N245" s="13"/>
      <c r="O245" s="13"/>
      <c r="P245" s="11"/>
      <c r="Q245" s="13"/>
      <c r="R245" s="13"/>
      <c r="S245" s="13"/>
      <c r="T245" s="13"/>
      <c r="U245" s="13"/>
      <c r="V245" s="13"/>
      <c r="Y245" s="14"/>
      <c r="Z245" s="15"/>
    </row>
    <row r="246" spans="1:26" x14ac:dyDescent="0.25">
      <c r="A246" s="12"/>
      <c r="B246" s="12"/>
      <c r="C246" s="10"/>
      <c r="D246" s="10"/>
      <c r="E246" s="10"/>
      <c r="F246" s="10"/>
      <c r="G246" s="10"/>
      <c r="M246" s="13"/>
      <c r="N246" s="13"/>
      <c r="O246" s="13"/>
      <c r="P246" s="11"/>
      <c r="Q246" s="13"/>
      <c r="R246" s="13"/>
      <c r="S246" s="13"/>
      <c r="T246" s="13"/>
      <c r="U246" s="13"/>
      <c r="V246" s="13"/>
      <c r="Y246" s="14"/>
      <c r="Z246" s="15"/>
    </row>
    <row r="247" spans="1:26" x14ac:dyDescent="0.25">
      <c r="A247" s="12"/>
      <c r="B247" s="12"/>
      <c r="C247" s="10"/>
      <c r="D247" s="10"/>
      <c r="E247" s="10"/>
      <c r="F247" s="10"/>
      <c r="G247" s="10"/>
      <c r="M247" s="13"/>
      <c r="N247" s="13"/>
      <c r="O247" s="13"/>
      <c r="P247" s="11"/>
      <c r="Q247" s="13"/>
      <c r="R247" s="13"/>
      <c r="S247" s="13"/>
      <c r="T247" s="13"/>
      <c r="U247" s="13"/>
      <c r="V247" s="13"/>
      <c r="Y247" s="14"/>
      <c r="Z247" s="15"/>
    </row>
    <row r="248" spans="1:26" x14ac:dyDescent="0.25">
      <c r="A248" s="12"/>
      <c r="B248" s="12"/>
      <c r="C248" s="10"/>
      <c r="D248" s="10"/>
      <c r="E248" s="10"/>
      <c r="F248" s="10"/>
      <c r="G248" s="10"/>
      <c r="M248" s="13"/>
      <c r="N248" s="13"/>
      <c r="O248" s="13"/>
      <c r="P248" s="11"/>
      <c r="Q248" s="13"/>
      <c r="R248" s="13"/>
      <c r="S248" s="13"/>
      <c r="T248" s="13"/>
      <c r="U248" s="13"/>
      <c r="V248" s="13"/>
      <c r="Y248" s="14"/>
      <c r="Z248" s="15"/>
    </row>
    <row r="249" spans="1:26" x14ac:dyDescent="0.25">
      <c r="A249" s="12"/>
      <c r="B249" s="12"/>
      <c r="C249" s="10"/>
      <c r="D249" s="10"/>
      <c r="E249" s="10"/>
      <c r="F249" s="10"/>
      <c r="G249" s="10"/>
      <c r="M249" s="13"/>
      <c r="N249" s="13"/>
      <c r="O249" s="13"/>
      <c r="P249" s="11"/>
      <c r="Q249" s="13"/>
      <c r="R249" s="13"/>
      <c r="S249" s="13"/>
      <c r="T249" s="13"/>
      <c r="U249" s="13"/>
      <c r="V249" s="13"/>
      <c r="Y249" s="14"/>
      <c r="Z249" s="15"/>
    </row>
    <row r="250" spans="1:26" x14ac:dyDescent="0.25">
      <c r="A250" s="12"/>
      <c r="B250" s="12"/>
      <c r="C250" s="10"/>
      <c r="D250" s="10"/>
      <c r="E250" s="10"/>
      <c r="F250" s="10"/>
      <c r="G250" s="10"/>
      <c r="M250" s="13"/>
      <c r="N250" s="13"/>
      <c r="O250" s="13"/>
      <c r="P250" s="11"/>
      <c r="Q250" s="13"/>
      <c r="R250" s="13"/>
      <c r="S250" s="13"/>
      <c r="T250" s="13"/>
      <c r="U250" s="13"/>
      <c r="V250" s="13"/>
      <c r="Y250" s="14"/>
      <c r="Z250" s="15"/>
    </row>
    <row r="251" spans="1:26" x14ac:dyDescent="0.25">
      <c r="A251" s="12"/>
      <c r="B251" s="12"/>
      <c r="C251" s="10"/>
      <c r="D251" s="10"/>
      <c r="E251" s="10"/>
      <c r="F251" s="10"/>
      <c r="G251" s="10"/>
      <c r="M251" s="13"/>
      <c r="N251" s="13"/>
      <c r="O251" s="13"/>
      <c r="P251" s="11"/>
      <c r="Q251" s="13"/>
      <c r="R251" s="13"/>
      <c r="S251" s="13"/>
      <c r="T251" s="13"/>
      <c r="U251" s="13"/>
      <c r="V251" s="13"/>
      <c r="Y251" s="14"/>
      <c r="Z251" s="15"/>
    </row>
    <row r="252" spans="1:26" x14ac:dyDescent="0.25">
      <c r="A252" s="12"/>
      <c r="B252" s="12"/>
      <c r="C252" s="10"/>
      <c r="D252" s="10"/>
      <c r="E252" s="10"/>
      <c r="F252" s="10"/>
      <c r="G252" s="10"/>
      <c r="M252" s="13"/>
      <c r="N252" s="13"/>
      <c r="O252" s="13"/>
      <c r="P252" s="11"/>
      <c r="Q252" s="13"/>
      <c r="R252" s="13"/>
      <c r="S252" s="13"/>
      <c r="T252" s="13"/>
      <c r="U252" s="13"/>
      <c r="V252" s="13"/>
      <c r="Y252" s="14"/>
      <c r="Z252" s="15"/>
    </row>
    <row r="253" spans="1:26" x14ac:dyDescent="0.25">
      <c r="A253" s="12"/>
      <c r="B253" s="12"/>
      <c r="C253" s="10"/>
      <c r="D253" s="10"/>
      <c r="E253" s="10"/>
      <c r="F253" s="10"/>
      <c r="G253" s="10"/>
      <c r="M253" s="13"/>
      <c r="N253" s="13"/>
      <c r="O253" s="13"/>
      <c r="P253" s="11"/>
      <c r="Q253" s="13"/>
      <c r="R253" s="13"/>
      <c r="S253" s="13"/>
      <c r="T253" s="13"/>
      <c r="U253" s="13"/>
      <c r="V253" s="13"/>
      <c r="Y253" s="14"/>
      <c r="Z253" s="15"/>
    </row>
    <row r="254" spans="1:26" x14ac:dyDescent="0.25">
      <c r="A254" s="12"/>
      <c r="B254" s="12"/>
      <c r="C254" s="10"/>
      <c r="D254" s="10"/>
      <c r="E254" s="10"/>
      <c r="F254" s="10"/>
      <c r="G254" s="10"/>
      <c r="M254" s="13"/>
      <c r="N254" s="13"/>
      <c r="O254" s="13"/>
      <c r="P254" s="11"/>
      <c r="Q254" s="13"/>
      <c r="R254" s="13"/>
      <c r="S254" s="13"/>
      <c r="T254" s="13"/>
      <c r="U254" s="13"/>
      <c r="V254" s="13"/>
      <c r="Y254" s="14"/>
      <c r="Z254" s="15"/>
    </row>
    <row r="255" spans="1:26" x14ac:dyDescent="0.25">
      <c r="A255" s="12"/>
      <c r="B255" s="12"/>
      <c r="C255" s="10"/>
      <c r="D255" s="10"/>
      <c r="E255" s="10"/>
      <c r="F255" s="10"/>
      <c r="G255" s="10"/>
      <c r="M255" s="13"/>
      <c r="N255" s="13"/>
      <c r="O255" s="13"/>
      <c r="P255" s="11"/>
      <c r="Q255" s="13"/>
      <c r="R255" s="13"/>
      <c r="S255" s="13"/>
      <c r="T255" s="13"/>
      <c r="U255" s="13"/>
      <c r="V255" s="13"/>
      <c r="Y255" s="14"/>
      <c r="Z255" s="15"/>
    </row>
    <row r="256" spans="1:26" x14ac:dyDescent="0.25">
      <c r="A256" s="12"/>
      <c r="B256" s="12"/>
      <c r="C256" s="10"/>
      <c r="D256" s="10"/>
      <c r="E256" s="10"/>
      <c r="F256" s="10"/>
      <c r="G256" s="10"/>
      <c r="M256" s="13"/>
      <c r="N256" s="13"/>
      <c r="O256" s="13"/>
      <c r="P256" s="11"/>
      <c r="Q256" s="13"/>
      <c r="R256" s="13"/>
      <c r="S256" s="13"/>
      <c r="T256" s="13"/>
      <c r="U256" s="13"/>
      <c r="V256" s="13"/>
      <c r="Y256" s="14"/>
      <c r="Z256" s="15"/>
    </row>
    <row r="257" spans="1:26" x14ac:dyDescent="0.25">
      <c r="A257" s="12"/>
      <c r="B257" s="12"/>
      <c r="C257" s="10"/>
      <c r="D257" s="10"/>
      <c r="E257" s="10"/>
      <c r="F257" s="10"/>
      <c r="G257" s="10"/>
      <c r="M257" s="13"/>
      <c r="N257" s="13"/>
      <c r="O257" s="13"/>
      <c r="P257" s="11"/>
      <c r="Q257" s="13"/>
      <c r="R257" s="13"/>
      <c r="S257" s="13"/>
      <c r="T257" s="13"/>
      <c r="U257" s="13"/>
      <c r="V257" s="13"/>
      <c r="Y257" s="14"/>
      <c r="Z257" s="15"/>
    </row>
    <row r="258" spans="1:26" x14ac:dyDescent="0.25">
      <c r="A258" s="12"/>
      <c r="B258" s="12"/>
      <c r="C258" s="10"/>
      <c r="D258" s="10"/>
      <c r="E258" s="10"/>
      <c r="F258" s="10"/>
      <c r="G258" s="10"/>
      <c r="M258" s="13"/>
      <c r="N258" s="13"/>
      <c r="O258" s="13"/>
      <c r="P258" s="11"/>
      <c r="Q258" s="13"/>
      <c r="R258" s="13"/>
      <c r="S258" s="13"/>
      <c r="T258" s="13"/>
      <c r="U258" s="13"/>
      <c r="V258" s="13"/>
      <c r="Y258" s="14"/>
      <c r="Z258" s="15"/>
    </row>
    <row r="259" spans="1:26" x14ac:dyDescent="0.25">
      <c r="A259" s="12"/>
      <c r="B259" s="12"/>
      <c r="C259" s="10"/>
      <c r="D259" s="10"/>
      <c r="E259" s="10"/>
      <c r="F259" s="10"/>
      <c r="G259" s="10"/>
      <c r="M259" s="13"/>
      <c r="N259" s="13"/>
      <c r="O259" s="13"/>
      <c r="P259" s="11"/>
      <c r="Q259" s="13"/>
      <c r="R259" s="13"/>
      <c r="S259" s="13"/>
      <c r="T259" s="13"/>
      <c r="U259" s="13"/>
      <c r="V259" s="13"/>
      <c r="Y259" s="14"/>
      <c r="Z259" s="15"/>
    </row>
    <row r="260" spans="1:26" x14ac:dyDescent="0.25">
      <c r="A260" s="12"/>
      <c r="B260" s="12"/>
      <c r="C260" s="10"/>
      <c r="D260" s="10"/>
      <c r="E260" s="10"/>
      <c r="F260" s="10"/>
      <c r="G260" s="10"/>
      <c r="M260" s="13"/>
      <c r="N260" s="13"/>
      <c r="O260" s="13"/>
      <c r="P260" s="11"/>
      <c r="Q260" s="13"/>
      <c r="R260" s="13"/>
      <c r="S260" s="13"/>
      <c r="T260" s="13"/>
      <c r="U260" s="13"/>
      <c r="V260" s="13"/>
      <c r="Y260" s="14"/>
      <c r="Z260" s="15"/>
    </row>
    <row r="261" spans="1:26" x14ac:dyDescent="0.25">
      <c r="A261" s="12"/>
      <c r="B261" s="12"/>
      <c r="C261" s="10"/>
      <c r="D261" s="10"/>
      <c r="E261" s="10"/>
      <c r="F261" s="10"/>
      <c r="G261" s="10"/>
      <c r="M261" s="13"/>
      <c r="N261" s="13"/>
      <c r="O261" s="13"/>
      <c r="P261" s="11"/>
      <c r="Q261" s="13"/>
      <c r="R261" s="13"/>
      <c r="S261" s="13"/>
      <c r="T261" s="13"/>
      <c r="U261" s="13"/>
      <c r="V261" s="13"/>
      <c r="Y261" s="14"/>
      <c r="Z261" s="15"/>
    </row>
    <row r="262" spans="1:26" x14ac:dyDescent="0.25">
      <c r="A262" s="12"/>
      <c r="B262" s="12"/>
      <c r="C262" s="10"/>
      <c r="D262" s="10"/>
      <c r="E262" s="10"/>
      <c r="F262" s="10"/>
      <c r="G262" s="10"/>
      <c r="M262" s="13"/>
      <c r="N262" s="13"/>
      <c r="O262" s="13"/>
      <c r="P262" s="11"/>
      <c r="Q262" s="13"/>
      <c r="R262" s="13"/>
      <c r="S262" s="13"/>
      <c r="T262" s="13"/>
      <c r="U262" s="13"/>
      <c r="V262" s="13"/>
      <c r="Y262" s="14"/>
      <c r="Z262" s="15"/>
    </row>
    <row r="263" spans="1:26" x14ac:dyDescent="0.25">
      <c r="A263" s="12"/>
      <c r="B263" s="12"/>
      <c r="C263" s="10"/>
      <c r="D263" s="10"/>
      <c r="E263" s="10"/>
      <c r="F263" s="10"/>
      <c r="G263" s="10"/>
      <c r="M263" s="13"/>
      <c r="N263" s="13"/>
      <c r="O263" s="13"/>
      <c r="P263" s="11"/>
      <c r="Q263" s="13"/>
      <c r="R263" s="13"/>
      <c r="S263" s="13"/>
      <c r="T263" s="13"/>
      <c r="U263" s="13"/>
      <c r="V263" s="13"/>
      <c r="Y263" s="14"/>
      <c r="Z263" s="15"/>
    </row>
    <row r="264" spans="1:26" x14ac:dyDescent="0.25">
      <c r="A264" s="12"/>
      <c r="B264" s="12"/>
      <c r="C264" s="10"/>
      <c r="D264" s="10"/>
      <c r="E264" s="10"/>
      <c r="F264" s="10"/>
      <c r="G264" s="10"/>
      <c r="M264" s="13"/>
      <c r="N264" s="13"/>
      <c r="O264" s="13"/>
      <c r="P264" s="11"/>
      <c r="Q264" s="13"/>
      <c r="R264" s="13"/>
      <c r="S264" s="13"/>
      <c r="T264" s="13"/>
      <c r="U264" s="13"/>
      <c r="V264" s="13"/>
      <c r="Y264" s="14"/>
      <c r="Z264" s="15"/>
    </row>
    <row r="265" spans="1:26" x14ac:dyDescent="0.25">
      <c r="A265" s="12"/>
      <c r="B265" s="12"/>
      <c r="C265" s="10"/>
      <c r="D265" s="10"/>
      <c r="E265" s="10"/>
      <c r="F265" s="10"/>
      <c r="G265" s="10"/>
      <c r="M265" s="13"/>
      <c r="N265" s="13"/>
      <c r="O265" s="13"/>
      <c r="P265" s="11"/>
      <c r="Q265" s="13"/>
      <c r="R265" s="13"/>
      <c r="S265" s="13"/>
      <c r="T265" s="13"/>
      <c r="U265" s="13"/>
      <c r="V265" s="13"/>
      <c r="Y265" s="14"/>
      <c r="Z265" s="15"/>
    </row>
    <row r="266" spans="1:26" x14ac:dyDescent="0.25">
      <c r="A266" s="12"/>
      <c r="B266" s="12"/>
      <c r="C266" s="10"/>
      <c r="D266" s="10"/>
      <c r="E266" s="10"/>
      <c r="F266" s="10"/>
      <c r="G266" s="10"/>
      <c r="M266" s="13"/>
      <c r="N266" s="13"/>
      <c r="O266" s="13"/>
      <c r="P266" s="11"/>
      <c r="Q266" s="13"/>
      <c r="R266" s="13"/>
      <c r="S266" s="13"/>
      <c r="T266" s="13"/>
      <c r="U266" s="13"/>
      <c r="V266" s="13"/>
      <c r="Y266" s="14"/>
      <c r="Z266" s="15"/>
    </row>
    <row r="267" spans="1:26" x14ac:dyDescent="0.25">
      <c r="A267" s="12"/>
      <c r="B267" s="12"/>
      <c r="C267" s="10"/>
      <c r="D267" s="10"/>
      <c r="E267" s="10"/>
      <c r="F267" s="10"/>
      <c r="G267" s="10"/>
      <c r="M267" s="13"/>
      <c r="N267" s="13"/>
      <c r="O267" s="13"/>
      <c r="P267" s="11"/>
      <c r="Q267" s="13"/>
      <c r="R267" s="13"/>
      <c r="S267" s="13"/>
      <c r="T267" s="13"/>
      <c r="U267" s="13"/>
      <c r="V267" s="13"/>
      <c r="Y267" s="14"/>
      <c r="Z267" s="15"/>
    </row>
    <row r="268" spans="1:26" x14ac:dyDescent="0.25">
      <c r="A268" s="12"/>
      <c r="B268" s="12"/>
      <c r="C268" s="10"/>
      <c r="D268" s="10"/>
      <c r="E268" s="10"/>
      <c r="F268" s="10"/>
      <c r="G268" s="10"/>
      <c r="M268" s="13"/>
      <c r="N268" s="13"/>
      <c r="O268" s="13"/>
      <c r="P268" s="11"/>
      <c r="Q268" s="13"/>
      <c r="R268" s="13"/>
      <c r="S268" s="13"/>
      <c r="T268" s="13"/>
      <c r="U268" s="13"/>
      <c r="V268" s="13"/>
      <c r="Y268" s="14"/>
      <c r="Z268" s="15"/>
    </row>
    <row r="269" spans="1:26" x14ac:dyDescent="0.25">
      <c r="A269" s="12"/>
      <c r="B269" s="12"/>
      <c r="C269" s="10"/>
      <c r="D269" s="10"/>
      <c r="E269" s="10"/>
      <c r="F269" s="10"/>
      <c r="G269" s="10"/>
      <c r="M269" s="13"/>
      <c r="N269" s="13"/>
      <c r="O269" s="13"/>
      <c r="P269" s="11"/>
      <c r="Q269" s="13"/>
      <c r="R269" s="13"/>
      <c r="S269" s="13"/>
      <c r="T269" s="13"/>
      <c r="U269" s="13"/>
      <c r="V269" s="13"/>
      <c r="Y269" s="14"/>
      <c r="Z269" s="15"/>
    </row>
    <row r="270" spans="1:26" x14ac:dyDescent="0.25">
      <c r="A270" s="12"/>
      <c r="B270" s="12"/>
      <c r="C270" s="10"/>
      <c r="D270" s="10"/>
      <c r="E270" s="10"/>
      <c r="F270" s="10"/>
      <c r="G270" s="10"/>
      <c r="M270" s="13"/>
      <c r="N270" s="13"/>
      <c r="O270" s="13"/>
      <c r="P270" s="11"/>
      <c r="Q270" s="13"/>
      <c r="R270" s="13"/>
      <c r="S270" s="13"/>
      <c r="T270" s="13"/>
      <c r="U270" s="13"/>
      <c r="V270" s="13"/>
      <c r="Y270" s="14"/>
      <c r="Z270" s="15"/>
    </row>
    <row r="271" spans="1:26" x14ac:dyDescent="0.25">
      <c r="A271" s="12"/>
      <c r="B271" s="12"/>
      <c r="C271" s="10"/>
      <c r="D271" s="10"/>
      <c r="E271" s="10"/>
      <c r="F271" s="10"/>
      <c r="G271" s="10"/>
      <c r="M271" s="13"/>
      <c r="N271" s="13"/>
      <c r="O271" s="13"/>
      <c r="P271" s="11"/>
      <c r="Q271" s="13"/>
      <c r="R271" s="13"/>
      <c r="S271" s="13"/>
      <c r="T271" s="13"/>
      <c r="U271" s="13"/>
      <c r="V271" s="13"/>
      <c r="Y271" s="14"/>
      <c r="Z271" s="15"/>
    </row>
    <row r="272" spans="1:26" x14ac:dyDescent="0.25">
      <c r="A272" s="12"/>
      <c r="B272" s="12"/>
      <c r="C272" s="10"/>
      <c r="D272" s="10"/>
      <c r="E272" s="10"/>
      <c r="F272" s="10"/>
      <c r="G272" s="10"/>
      <c r="M272" s="13"/>
      <c r="N272" s="13"/>
      <c r="O272" s="13"/>
      <c r="P272" s="11"/>
      <c r="Q272" s="13"/>
      <c r="R272" s="13"/>
      <c r="S272" s="13"/>
      <c r="T272" s="13"/>
      <c r="U272" s="13"/>
      <c r="V272" s="13"/>
      <c r="Y272" s="14"/>
      <c r="Z272" s="15"/>
    </row>
    <row r="273" spans="1:26" x14ac:dyDescent="0.25">
      <c r="A273" s="12"/>
      <c r="B273" s="12"/>
      <c r="C273" s="10"/>
      <c r="D273" s="10"/>
      <c r="E273" s="10"/>
      <c r="F273" s="10"/>
      <c r="G273" s="10"/>
      <c r="M273" s="13"/>
      <c r="N273" s="13"/>
      <c r="O273" s="13"/>
      <c r="P273" s="11"/>
      <c r="Q273" s="13"/>
      <c r="R273" s="13"/>
      <c r="S273" s="13"/>
      <c r="T273" s="13"/>
      <c r="U273" s="13"/>
      <c r="V273" s="13"/>
      <c r="Y273" s="14"/>
      <c r="Z273" s="15"/>
    </row>
    <row r="274" spans="1:26" x14ac:dyDescent="0.25">
      <c r="A274" s="12"/>
      <c r="B274" s="12"/>
      <c r="C274" s="10"/>
      <c r="D274" s="10"/>
      <c r="E274" s="10"/>
      <c r="F274" s="10"/>
      <c r="G274" s="10"/>
      <c r="M274" s="13"/>
      <c r="N274" s="13"/>
      <c r="O274" s="13"/>
      <c r="P274" s="11"/>
      <c r="Q274" s="13"/>
      <c r="R274" s="13"/>
      <c r="S274" s="13"/>
      <c r="T274" s="13"/>
      <c r="U274" s="13"/>
      <c r="V274" s="13"/>
      <c r="Y274" s="14"/>
      <c r="Z274" s="15"/>
    </row>
    <row r="275" spans="1:26" x14ac:dyDescent="0.25">
      <c r="A275" s="12"/>
      <c r="B275" s="12"/>
      <c r="C275" s="10"/>
      <c r="D275" s="10"/>
      <c r="E275" s="10"/>
      <c r="F275" s="10"/>
      <c r="G275" s="10"/>
      <c r="M275" s="13"/>
      <c r="N275" s="13"/>
      <c r="O275" s="13"/>
      <c r="P275" s="11"/>
      <c r="Q275" s="13"/>
      <c r="R275" s="13"/>
      <c r="S275" s="13"/>
      <c r="T275" s="13"/>
      <c r="U275" s="13"/>
      <c r="V275" s="13"/>
      <c r="Y275" s="14"/>
      <c r="Z275" s="15"/>
    </row>
    <row r="276" spans="1:26" x14ac:dyDescent="0.25">
      <c r="A276" s="12"/>
      <c r="B276" s="12"/>
      <c r="C276" s="10"/>
      <c r="D276" s="10"/>
      <c r="E276" s="10"/>
      <c r="F276" s="10"/>
      <c r="G276" s="10"/>
      <c r="M276" s="13"/>
      <c r="N276" s="13"/>
      <c r="O276" s="13"/>
      <c r="P276" s="11"/>
      <c r="Q276" s="13"/>
      <c r="R276" s="13"/>
      <c r="S276" s="13"/>
      <c r="T276" s="13"/>
      <c r="U276" s="13"/>
      <c r="V276" s="13"/>
      <c r="Y276" s="14"/>
      <c r="Z276" s="15"/>
    </row>
    <row r="277" spans="1:26" x14ac:dyDescent="0.25">
      <c r="A277" s="12"/>
      <c r="B277" s="12"/>
      <c r="C277" s="10"/>
      <c r="D277" s="10"/>
      <c r="E277" s="10"/>
      <c r="F277" s="10"/>
      <c r="G277" s="10"/>
      <c r="M277" s="13"/>
      <c r="N277" s="13"/>
      <c r="O277" s="13"/>
      <c r="P277" s="11"/>
      <c r="Q277" s="13"/>
      <c r="R277" s="13"/>
      <c r="S277" s="13"/>
      <c r="T277" s="13"/>
      <c r="U277" s="13"/>
      <c r="V277" s="13"/>
      <c r="Y277" s="14"/>
      <c r="Z277" s="15"/>
    </row>
    <row r="278" spans="1:26" x14ac:dyDescent="0.25">
      <c r="A278" s="12"/>
      <c r="B278" s="12"/>
      <c r="C278" s="10"/>
      <c r="D278" s="10"/>
      <c r="E278" s="10"/>
      <c r="F278" s="10"/>
      <c r="G278" s="10"/>
      <c r="M278" s="13"/>
      <c r="N278" s="13"/>
      <c r="O278" s="13"/>
      <c r="P278" s="11"/>
      <c r="Q278" s="13"/>
      <c r="R278" s="13"/>
      <c r="S278" s="13"/>
      <c r="T278" s="13"/>
      <c r="U278" s="13"/>
      <c r="V278" s="13"/>
      <c r="Y278" s="14"/>
      <c r="Z278" s="15"/>
    </row>
    <row r="279" spans="1:26" x14ac:dyDescent="0.25">
      <c r="A279" s="12"/>
      <c r="B279" s="12"/>
      <c r="C279" s="10"/>
      <c r="D279" s="10"/>
      <c r="E279" s="10"/>
      <c r="F279" s="10"/>
      <c r="G279" s="10"/>
      <c r="M279" s="13"/>
      <c r="N279" s="13"/>
      <c r="O279" s="13"/>
      <c r="P279" s="11"/>
      <c r="Q279" s="13"/>
      <c r="R279" s="13"/>
      <c r="S279" s="13"/>
      <c r="T279" s="13"/>
      <c r="U279" s="13"/>
      <c r="V279" s="13"/>
      <c r="Y279" s="14"/>
      <c r="Z279" s="15"/>
    </row>
    <row r="280" spans="1:26" x14ac:dyDescent="0.25">
      <c r="A280" s="12"/>
      <c r="B280" s="12"/>
      <c r="C280" s="10"/>
      <c r="D280" s="10"/>
      <c r="E280" s="10"/>
      <c r="F280" s="10"/>
      <c r="G280" s="10"/>
      <c r="M280" s="13"/>
      <c r="N280" s="13"/>
      <c r="O280" s="13"/>
      <c r="P280" s="11"/>
      <c r="Q280" s="13"/>
      <c r="R280" s="13"/>
      <c r="S280" s="13"/>
      <c r="T280" s="13"/>
      <c r="U280" s="13"/>
      <c r="V280" s="13"/>
      <c r="Y280" s="14"/>
      <c r="Z280" s="15"/>
    </row>
    <row r="281" spans="1:26" x14ac:dyDescent="0.25">
      <c r="A281" s="12"/>
      <c r="B281" s="12"/>
      <c r="C281" s="10"/>
      <c r="D281" s="10"/>
      <c r="E281" s="10"/>
      <c r="F281" s="10"/>
      <c r="G281" s="10"/>
      <c r="M281" s="13"/>
      <c r="N281" s="13"/>
      <c r="O281" s="13"/>
      <c r="P281" s="11"/>
      <c r="Q281" s="13"/>
      <c r="R281" s="13"/>
      <c r="S281" s="13"/>
      <c r="T281" s="13"/>
      <c r="U281" s="13"/>
      <c r="V281" s="13"/>
      <c r="Y281" s="14"/>
      <c r="Z281" s="15"/>
    </row>
    <row r="282" spans="1:26" x14ac:dyDescent="0.25">
      <c r="A282" s="12"/>
      <c r="B282" s="12"/>
      <c r="C282" s="10"/>
      <c r="D282" s="10"/>
      <c r="E282" s="10"/>
      <c r="F282" s="10"/>
      <c r="G282" s="10"/>
      <c r="M282" s="13"/>
      <c r="N282" s="13"/>
      <c r="O282" s="13"/>
      <c r="P282" s="11"/>
      <c r="Q282" s="13"/>
      <c r="R282" s="13"/>
      <c r="S282" s="13"/>
      <c r="T282" s="13"/>
      <c r="U282" s="13"/>
      <c r="V282" s="13"/>
      <c r="Y282" s="14"/>
      <c r="Z282" s="15"/>
    </row>
    <row r="283" spans="1:26" x14ac:dyDescent="0.25">
      <c r="A283" s="12"/>
      <c r="B283" s="12"/>
      <c r="C283" s="10"/>
      <c r="D283" s="10"/>
      <c r="E283" s="10"/>
      <c r="F283" s="10"/>
      <c r="G283" s="10"/>
      <c r="M283" s="13"/>
      <c r="N283" s="13"/>
      <c r="O283" s="13"/>
      <c r="P283" s="11"/>
      <c r="Q283" s="13"/>
      <c r="R283" s="13"/>
      <c r="S283" s="13"/>
      <c r="T283" s="13"/>
      <c r="U283" s="13"/>
      <c r="V283" s="13"/>
      <c r="Y283" s="14"/>
      <c r="Z283" s="15"/>
    </row>
    <row r="284" spans="1:26" x14ac:dyDescent="0.25">
      <c r="A284" s="12"/>
      <c r="B284" s="12"/>
      <c r="C284" s="10"/>
      <c r="D284" s="10"/>
      <c r="E284" s="10"/>
      <c r="F284" s="10"/>
      <c r="G284" s="10"/>
      <c r="M284" s="13"/>
      <c r="N284" s="13"/>
      <c r="O284" s="13"/>
      <c r="P284" s="11"/>
      <c r="Q284" s="13"/>
      <c r="R284" s="13"/>
      <c r="S284" s="13"/>
      <c r="T284" s="13"/>
      <c r="U284" s="13"/>
      <c r="V284" s="13"/>
      <c r="Y284" s="14"/>
      <c r="Z284" s="15"/>
    </row>
    <row r="285" spans="1:26" x14ac:dyDescent="0.25">
      <c r="A285" s="12"/>
      <c r="B285" s="12"/>
      <c r="C285" s="10"/>
      <c r="D285" s="10"/>
      <c r="E285" s="10"/>
      <c r="F285" s="10"/>
      <c r="G285" s="10"/>
      <c r="M285" s="13"/>
      <c r="N285" s="13"/>
      <c r="O285" s="13"/>
      <c r="P285" s="11"/>
      <c r="Q285" s="13"/>
      <c r="R285" s="13"/>
      <c r="S285" s="13"/>
      <c r="T285" s="13"/>
      <c r="U285" s="13"/>
      <c r="V285" s="13"/>
      <c r="Y285" s="14"/>
      <c r="Z285" s="15"/>
    </row>
    <row r="286" spans="1:26" x14ac:dyDescent="0.25">
      <c r="A286" s="12"/>
      <c r="B286" s="12"/>
      <c r="C286" s="10"/>
      <c r="D286" s="10"/>
      <c r="E286" s="10"/>
      <c r="F286" s="10"/>
      <c r="G286" s="10"/>
      <c r="M286" s="13"/>
      <c r="N286" s="13"/>
      <c r="O286" s="13"/>
      <c r="P286" s="11"/>
      <c r="Q286" s="13"/>
      <c r="R286" s="13"/>
      <c r="S286" s="13"/>
      <c r="T286" s="13"/>
      <c r="U286" s="13"/>
      <c r="V286" s="13"/>
      <c r="Y286" s="14"/>
      <c r="Z286" s="15"/>
    </row>
    <row r="287" spans="1:26" x14ac:dyDescent="0.25">
      <c r="A287" s="12"/>
      <c r="B287" s="12"/>
      <c r="C287" s="10"/>
      <c r="D287" s="10"/>
      <c r="E287" s="10"/>
      <c r="F287" s="10"/>
      <c r="G287" s="10"/>
      <c r="M287" s="13"/>
      <c r="N287" s="13"/>
      <c r="O287" s="13"/>
      <c r="P287" s="11"/>
      <c r="Q287" s="13"/>
      <c r="R287" s="13"/>
      <c r="S287" s="13"/>
      <c r="T287" s="13"/>
      <c r="U287" s="13"/>
      <c r="V287" s="13"/>
      <c r="Y287" s="14"/>
      <c r="Z287" s="15"/>
    </row>
    <row r="288" spans="1:26" x14ac:dyDescent="0.25">
      <c r="A288" s="12"/>
      <c r="B288" s="12"/>
      <c r="C288" s="10"/>
      <c r="D288" s="10"/>
      <c r="E288" s="10"/>
      <c r="F288" s="10"/>
      <c r="G288" s="10"/>
      <c r="M288" s="13"/>
      <c r="N288" s="13"/>
      <c r="O288" s="13"/>
      <c r="P288" s="11"/>
      <c r="Q288" s="13"/>
      <c r="R288" s="13"/>
      <c r="S288" s="13"/>
      <c r="T288" s="13"/>
      <c r="U288" s="13"/>
      <c r="V288" s="13"/>
      <c r="Y288" s="14"/>
      <c r="Z288" s="15"/>
    </row>
    <row r="289" spans="1:26" x14ac:dyDescent="0.25">
      <c r="A289" s="12"/>
      <c r="B289" s="12"/>
      <c r="C289" s="10"/>
      <c r="D289" s="10"/>
      <c r="E289" s="10"/>
      <c r="F289" s="10"/>
      <c r="G289" s="10"/>
      <c r="M289" s="13"/>
      <c r="N289" s="13"/>
      <c r="O289" s="13"/>
      <c r="P289" s="11"/>
      <c r="Q289" s="13"/>
      <c r="R289" s="13"/>
      <c r="S289" s="13"/>
      <c r="T289" s="13"/>
      <c r="U289" s="13"/>
      <c r="V289" s="13"/>
      <c r="Y289" s="14"/>
      <c r="Z289" s="15"/>
    </row>
    <row r="290" spans="1:26" x14ac:dyDescent="0.25">
      <c r="A290" s="12"/>
      <c r="B290" s="12"/>
      <c r="C290" s="10"/>
      <c r="D290" s="10"/>
      <c r="E290" s="10"/>
      <c r="F290" s="10"/>
      <c r="G290" s="10"/>
      <c r="M290" s="13"/>
      <c r="N290" s="13"/>
      <c r="O290" s="13"/>
      <c r="P290" s="11"/>
      <c r="Q290" s="13"/>
      <c r="R290" s="13"/>
      <c r="S290" s="13"/>
      <c r="T290" s="13"/>
      <c r="U290" s="13"/>
      <c r="V290" s="13"/>
      <c r="Y290" s="14"/>
      <c r="Z290" s="15"/>
    </row>
    <row r="291" spans="1:26" x14ac:dyDescent="0.25">
      <c r="A291" s="12"/>
      <c r="B291" s="12"/>
      <c r="C291" s="10"/>
      <c r="D291" s="10"/>
      <c r="E291" s="10"/>
      <c r="F291" s="10"/>
      <c r="G291" s="10"/>
      <c r="M291" s="13"/>
      <c r="N291" s="13"/>
      <c r="O291" s="13"/>
      <c r="P291" s="11"/>
      <c r="Q291" s="13"/>
      <c r="R291" s="13"/>
      <c r="S291" s="13"/>
      <c r="T291" s="13"/>
      <c r="U291" s="13"/>
      <c r="V291" s="13"/>
      <c r="Y291" s="14"/>
      <c r="Z291" s="15"/>
    </row>
    <row r="292" spans="1:26" x14ac:dyDescent="0.25">
      <c r="A292" s="12"/>
      <c r="B292" s="12"/>
      <c r="C292" s="10"/>
      <c r="D292" s="10"/>
      <c r="E292" s="10"/>
      <c r="F292" s="10"/>
      <c r="G292" s="10"/>
      <c r="M292" s="13"/>
      <c r="N292" s="13"/>
      <c r="O292" s="13"/>
      <c r="P292" s="11"/>
      <c r="Q292" s="13"/>
      <c r="R292" s="13"/>
      <c r="S292" s="13"/>
      <c r="T292" s="13"/>
      <c r="U292" s="13"/>
      <c r="V292" s="13"/>
      <c r="Y292" s="14"/>
      <c r="Z292" s="15"/>
    </row>
    <row r="293" spans="1:26" x14ac:dyDescent="0.25">
      <c r="A293" s="12"/>
      <c r="B293" s="12"/>
      <c r="C293" s="10"/>
      <c r="D293" s="10"/>
      <c r="E293" s="10"/>
      <c r="F293" s="10"/>
      <c r="G293" s="10"/>
      <c r="M293" s="13"/>
      <c r="N293" s="13"/>
      <c r="O293" s="13"/>
      <c r="P293" s="11"/>
      <c r="Q293" s="13"/>
      <c r="R293" s="13"/>
      <c r="S293" s="13"/>
      <c r="T293" s="13"/>
      <c r="U293" s="13"/>
      <c r="V293" s="13"/>
      <c r="Y293" s="14"/>
      <c r="Z293" s="15"/>
    </row>
    <row r="294" spans="1:26" x14ac:dyDescent="0.25">
      <c r="A294" s="12"/>
      <c r="B294" s="12"/>
      <c r="C294" s="10"/>
      <c r="D294" s="10"/>
      <c r="E294" s="10"/>
      <c r="F294" s="10"/>
      <c r="G294" s="10"/>
      <c r="M294" s="13"/>
      <c r="N294" s="13"/>
      <c r="O294" s="13"/>
      <c r="P294" s="11"/>
      <c r="Q294" s="13"/>
      <c r="R294" s="13"/>
      <c r="S294" s="13"/>
      <c r="T294" s="13"/>
      <c r="U294" s="13"/>
      <c r="V294" s="13"/>
      <c r="Y294" s="14"/>
      <c r="Z294" s="15"/>
    </row>
    <row r="295" spans="1:26" x14ac:dyDescent="0.25">
      <c r="A295" s="12"/>
      <c r="B295" s="12"/>
      <c r="C295" s="10"/>
      <c r="D295" s="10"/>
      <c r="E295" s="10"/>
      <c r="F295" s="10"/>
      <c r="G295" s="10"/>
      <c r="M295" s="13"/>
      <c r="N295" s="13"/>
      <c r="O295" s="13"/>
      <c r="P295" s="11"/>
      <c r="Q295" s="13"/>
      <c r="R295" s="13"/>
      <c r="S295" s="13"/>
      <c r="T295" s="13"/>
      <c r="U295" s="13"/>
      <c r="V295" s="13"/>
      <c r="Y295" s="14"/>
      <c r="Z295" s="15"/>
    </row>
    <row r="296" spans="1:26" x14ac:dyDescent="0.25">
      <c r="A296" s="12"/>
      <c r="B296" s="12"/>
      <c r="C296" s="10"/>
      <c r="D296" s="10"/>
      <c r="E296" s="10"/>
      <c r="F296" s="10"/>
      <c r="G296" s="10"/>
      <c r="M296" s="13"/>
      <c r="N296" s="13"/>
      <c r="O296" s="13"/>
      <c r="P296" s="11"/>
      <c r="Q296" s="13"/>
      <c r="R296" s="13"/>
      <c r="S296" s="13"/>
      <c r="T296" s="13"/>
      <c r="U296" s="13"/>
      <c r="V296" s="13"/>
      <c r="Y296" s="14"/>
      <c r="Z296" s="15"/>
    </row>
    <row r="297" spans="1:26" x14ac:dyDescent="0.25">
      <c r="A297" s="12"/>
      <c r="B297" s="12"/>
      <c r="C297" s="10"/>
      <c r="D297" s="10"/>
      <c r="E297" s="10"/>
      <c r="F297" s="10"/>
      <c r="G297" s="10"/>
      <c r="M297" s="13"/>
      <c r="N297" s="13"/>
      <c r="O297" s="13"/>
      <c r="P297" s="11"/>
      <c r="Q297" s="13"/>
      <c r="R297" s="13"/>
      <c r="S297" s="13"/>
      <c r="T297" s="13"/>
      <c r="U297" s="13"/>
      <c r="V297" s="13"/>
      <c r="Y297" s="14"/>
      <c r="Z297" s="15"/>
    </row>
    <row r="298" spans="1:26" x14ac:dyDescent="0.25">
      <c r="A298" s="12"/>
      <c r="B298" s="12"/>
      <c r="C298" s="10"/>
      <c r="D298" s="10"/>
      <c r="E298" s="10"/>
      <c r="F298" s="10"/>
      <c r="G298" s="10"/>
      <c r="M298" s="13"/>
      <c r="N298" s="13"/>
      <c r="O298" s="13"/>
      <c r="P298" s="11"/>
      <c r="Q298" s="13"/>
      <c r="R298" s="13"/>
      <c r="S298" s="13"/>
      <c r="T298" s="13"/>
      <c r="U298" s="13"/>
      <c r="V298" s="13"/>
      <c r="Y298" s="14"/>
      <c r="Z298" s="15"/>
    </row>
    <row r="299" spans="1:26" x14ac:dyDescent="0.25">
      <c r="A299" s="12"/>
      <c r="B299" s="12"/>
      <c r="C299" s="10"/>
      <c r="D299" s="10"/>
      <c r="E299" s="10"/>
      <c r="F299" s="10"/>
      <c r="G299" s="10"/>
      <c r="M299" s="13"/>
      <c r="N299" s="13"/>
      <c r="O299" s="13"/>
      <c r="P299" s="11"/>
      <c r="Q299" s="13"/>
      <c r="R299" s="13"/>
      <c r="S299" s="13"/>
      <c r="T299" s="13"/>
      <c r="U299" s="13"/>
      <c r="V299" s="13"/>
      <c r="Y299" s="14"/>
      <c r="Z299" s="15"/>
    </row>
    <row r="300" spans="1:26" x14ac:dyDescent="0.25">
      <c r="A300" s="12"/>
      <c r="B300" s="12"/>
      <c r="C300" s="10"/>
      <c r="D300" s="10"/>
      <c r="E300" s="10"/>
      <c r="F300" s="10"/>
      <c r="G300" s="10"/>
      <c r="M300" s="13"/>
      <c r="N300" s="13"/>
      <c r="O300" s="13"/>
      <c r="P300" s="11"/>
      <c r="Q300" s="13"/>
      <c r="R300" s="13"/>
      <c r="S300" s="13"/>
      <c r="T300" s="13"/>
      <c r="U300" s="13"/>
      <c r="V300" s="13"/>
      <c r="Y300" s="14"/>
      <c r="Z300" s="15"/>
    </row>
    <row r="301" spans="1:26" x14ac:dyDescent="0.25">
      <c r="A301" s="12"/>
      <c r="B301" s="12"/>
      <c r="C301" s="10"/>
      <c r="D301" s="10"/>
      <c r="E301" s="10"/>
      <c r="F301" s="10"/>
      <c r="G301" s="10"/>
      <c r="M301" s="13"/>
      <c r="N301" s="13"/>
      <c r="O301" s="13"/>
      <c r="P301" s="11"/>
      <c r="Q301" s="13"/>
      <c r="R301" s="13"/>
      <c r="S301" s="13"/>
      <c r="T301" s="13"/>
      <c r="U301" s="13"/>
      <c r="V301" s="13"/>
      <c r="Y301" s="14"/>
      <c r="Z301" s="15"/>
    </row>
    <row r="302" spans="1:26" x14ac:dyDescent="0.25">
      <c r="A302" s="12"/>
      <c r="B302" s="12"/>
      <c r="C302" s="10"/>
      <c r="D302" s="10"/>
      <c r="E302" s="10"/>
      <c r="F302" s="10"/>
      <c r="G302" s="10"/>
      <c r="M302" s="13"/>
      <c r="N302" s="13"/>
      <c r="O302" s="13"/>
      <c r="P302" s="11"/>
      <c r="Q302" s="13"/>
      <c r="R302" s="13"/>
      <c r="S302" s="13"/>
      <c r="T302" s="13"/>
      <c r="U302" s="13"/>
      <c r="V302" s="13"/>
      <c r="Y302" s="14"/>
      <c r="Z302" s="15"/>
    </row>
    <row r="303" spans="1:26" x14ac:dyDescent="0.25">
      <c r="A303" s="12"/>
      <c r="B303" s="12"/>
      <c r="C303" s="10"/>
      <c r="D303" s="10"/>
      <c r="E303" s="10"/>
      <c r="F303" s="10"/>
      <c r="G303" s="10"/>
      <c r="M303" s="13"/>
      <c r="N303" s="13"/>
      <c r="O303" s="13"/>
      <c r="P303" s="11"/>
      <c r="Q303" s="13"/>
      <c r="R303" s="13"/>
      <c r="S303" s="13"/>
      <c r="T303" s="13"/>
      <c r="U303" s="13"/>
      <c r="V303" s="13"/>
      <c r="Y303" s="14"/>
      <c r="Z303" s="15"/>
    </row>
    <row r="304" spans="1:26" x14ac:dyDescent="0.25">
      <c r="A304" s="12"/>
      <c r="B304" s="12"/>
      <c r="C304" s="10"/>
      <c r="D304" s="10"/>
      <c r="E304" s="10"/>
      <c r="F304" s="10"/>
      <c r="G304" s="10"/>
      <c r="M304" s="13"/>
      <c r="N304" s="13"/>
      <c r="O304" s="13"/>
      <c r="P304" s="11"/>
      <c r="Q304" s="13"/>
      <c r="R304" s="13"/>
      <c r="S304" s="13"/>
      <c r="T304" s="13"/>
      <c r="U304" s="13"/>
      <c r="V304" s="13"/>
      <c r="Y304" s="14"/>
      <c r="Z304" s="15"/>
    </row>
    <row r="305" spans="1:26" x14ac:dyDescent="0.25">
      <c r="A305" s="12"/>
      <c r="B305" s="12"/>
      <c r="C305" s="10"/>
      <c r="D305" s="10"/>
      <c r="E305" s="10"/>
      <c r="F305" s="10"/>
      <c r="G305" s="10"/>
      <c r="M305" s="13"/>
      <c r="N305" s="13"/>
      <c r="O305" s="13"/>
      <c r="P305" s="11"/>
      <c r="Q305" s="13"/>
      <c r="R305" s="13"/>
      <c r="S305" s="13"/>
      <c r="T305" s="13"/>
      <c r="U305" s="13"/>
      <c r="V305" s="13"/>
      <c r="Y305" s="14"/>
      <c r="Z305" s="15"/>
    </row>
    <row r="306" spans="1:26" x14ac:dyDescent="0.25">
      <c r="A306" s="12"/>
      <c r="B306" s="12"/>
      <c r="C306" s="10"/>
      <c r="D306" s="10"/>
      <c r="E306" s="10"/>
      <c r="F306" s="10"/>
      <c r="G306" s="10"/>
      <c r="M306" s="13"/>
      <c r="N306" s="13"/>
      <c r="O306" s="13"/>
      <c r="P306" s="11"/>
      <c r="Q306" s="13"/>
      <c r="R306" s="13"/>
      <c r="S306" s="13"/>
      <c r="T306" s="13"/>
      <c r="U306" s="13"/>
      <c r="V306" s="13"/>
      <c r="Y306" s="14"/>
      <c r="Z306" s="15"/>
    </row>
    <row r="307" spans="1:26" x14ac:dyDescent="0.25">
      <c r="A307" s="12"/>
      <c r="B307" s="12"/>
      <c r="C307" s="10"/>
      <c r="D307" s="10"/>
      <c r="E307" s="10"/>
      <c r="F307" s="10"/>
      <c r="G307" s="10"/>
      <c r="M307" s="13"/>
      <c r="N307" s="13"/>
      <c r="O307" s="13"/>
      <c r="P307" s="11"/>
      <c r="Q307" s="13"/>
      <c r="R307" s="13"/>
      <c r="S307" s="13"/>
      <c r="T307" s="13"/>
      <c r="U307" s="13"/>
      <c r="V307" s="13"/>
      <c r="Y307" s="14"/>
      <c r="Z307" s="15"/>
    </row>
    <row r="308" spans="1:26" x14ac:dyDescent="0.25">
      <c r="A308" s="12"/>
      <c r="B308" s="12"/>
      <c r="C308" s="10"/>
      <c r="D308" s="10"/>
      <c r="E308" s="10"/>
      <c r="F308" s="10"/>
      <c r="G308" s="10"/>
      <c r="M308" s="13"/>
      <c r="N308" s="13"/>
      <c r="O308" s="13"/>
      <c r="P308" s="11"/>
      <c r="Q308" s="13"/>
      <c r="R308" s="13"/>
      <c r="S308" s="13"/>
      <c r="T308" s="13"/>
      <c r="U308" s="13"/>
      <c r="V308" s="13"/>
      <c r="Y308" s="14"/>
      <c r="Z308" s="15"/>
    </row>
    <row r="309" spans="1:26" x14ac:dyDescent="0.25">
      <c r="A309" s="12"/>
      <c r="B309" s="12"/>
      <c r="C309" s="10"/>
      <c r="D309" s="10"/>
      <c r="E309" s="10"/>
      <c r="F309" s="10"/>
      <c r="G309" s="10"/>
      <c r="M309" s="13"/>
      <c r="N309" s="13"/>
      <c r="O309" s="13"/>
      <c r="P309" s="11"/>
      <c r="Q309" s="13"/>
      <c r="R309" s="13"/>
      <c r="S309" s="13"/>
      <c r="T309" s="13"/>
      <c r="U309" s="13"/>
      <c r="V309" s="13"/>
      <c r="Y309" s="14"/>
      <c r="Z309" s="15"/>
    </row>
    <row r="310" spans="1:26" x14ac:dyDescent="0.25">
      <c r="A310" s="12"/>
      <c r="B310" s="12"/>
      <c r="C310" s="10"/>
      <c r="D310" s="10"/>
      <c r="E310" s="10"/>
      <c r="F310" s="10"/>
      <c r="G310" s="10"/>
      <c r="M310" s="13"/>
      <c r="N310" s="13"/>
      <c r="O310" s="13"/>
      <c r="P310" s="11"/>
      <c r="Q310" s="13"/>
      <c r="R310" s="13"/>
      <c r="S310" s="13"/>
      <c r="T310" s="13"/>
      <c r="U310" s="13"/>
      <c r="V310" s="13"/>
      <c r="Y310" s="14"/>
      <c r="Z310" s="15"/>
    </row>
    <row r="311" spans="1:26" x14ac:dyDescent="0.25">
      <c r="A311" s="12"/>
      <c r="B311" s="12"/>
      <c r="C311" s="10"/>
      <c r="D311" s="10"/>
      <c r="E311" s="10"/>
      <c r="F311" s="10"/>
      <c r="G311" s="10"/>
      <c r="M311" s="13"/>
      <c r="N311" s="13"/>
      <c r="O311" s="13"/>
      <c r="P311" s="11"/>
      <c r="Q311" s="13"/>
      <c r="R311" s="13"/>
      <c r="S311" s="13"/>
      <c r="T311" s="13"/>
      <c r="U311" s="13"/>
      <c r="V311" s="13"/>
      <c r="Y311" s="14"/>
      <c r="Z311" s="15"/>
    </row>
    <row r="312" spans="1:26" x14ac:dyDescent="0.25">
      <c r="A312" s="12"/>
      <c r="B312" s="12"/>
      <c r="C312" s="10"/>
      <c r="D312" s="10"/>
      <c r="E312" s="10"/>
      <c r="F312" s="10"/>
      <c r="G312" s="10"/>
      <c r="M312" s="13"/>
      <c r="N312" s="13"/>
      <c r="O312" s="13"/>
      <c r="P312" s="11"/>
      <c r="Q312" s="13"/>
      <c r="R312" s="13"/>
      <c r="S312" s="13"/>
      <c r="T312" s="13"/>
      <c r="U312" s="13"/>
      <c r="V312" s="13"/>
      <c r="Y312" s="14"/>
      <c r="Z312" s="15"/>
    </row>
    <row r="313" spans="1:26" x14ac:dyDescent="0.25">
      <c r="A313" s="12"/>
      <c r="B313" s="12"/>
      <c r="C313" s="10"/>
      <c r="D313" s="10"/>
      <c r="E313" s="10"/>
      <c r="F313" s="10"/>
      <c r="G313" s="10"/>
      <c r="M313" s="13"/>
      <c r="N313" s="13"/>
      <c r="O313" s="13"/>
      <c r="P313" s="11"/>
      <c r="Q313" s="13"/>
      <c r="R313" s="13"/>
      <c r="S313" s="13"/>
      <c r="T313" s="13"/>
      <c r="U313" s="13"/>
      <c r="V313" s="13"/>
      <c r="Y313" s="14"/>
      <c r="Z313" s="15"/>
    </row>
    <row r="314" spans="1:26" x14ac:dyDescent="0.25">
      <c r="A314" s="12"/>
      <c r="B314" s="12"/>
      <c r="C314" s="10"/>
      <c r="D314" s="10"/>
      <c r="E314" s="10"/>
      <c r="F314" s="10"/>
      <c r="G314" s="10"/>
      <c r="M314" s="13"/>
      <c r="N314" s="13"/>
      <c r="O314" s="13"/>
      <c r="P314" s="11"/>
      <c r="Q314" s="13"/>
      <c r="R314" s="13"/>
      <c r="S314" s="13"/>
      <c r="T314" s="13"/>
      <c r="U314" s="13"/>
      <c r="V314" s="13"/>
      <c r="Y314" s="14"/>
      <c r="Z314" s="15"/>
    </row>
    <row r="315" spans="1:26" x14ac:dyDescent="0.25">
      <c r="A315" s="12"/>
      <c r="B315" s="12"/>
      <c r="C315" s="10"/>
      <c r="D315" s="10"/>
      <c r="E315" s="10"/>
      <c r="F315" s="10"/>
      <c r="G315" s="10"/>
      <c r="M315" s="13"/>
      <c r="N315" s="13"/>
      <c r="O315" s="13"/>
      <c r="P315" s="11"/>
      <c r="Q315" s="13"/>
      <c r="R315" s="13"/>
      <c r="S315" s="13"/>
      <c r="T315" s="13"/>
      <c r="U315" s="13"/>
      <c r="V315" s="13"/>
      <c r="Y315" s="14"/>
      <c r="Z315" s="15"/>
    </row>
    <row r="316" spans="1:26" x14ac:dyDescent="0.25">
      <c r="A316" s="12"/>
      <c r="B316" s="12"/>
      <c r="C316" s="10"/>
      <c r="D316" s="10"/>
      <c r="E316" s="10"/>
      <c r="F316" s="10"/>
      <c r="G316" s="10"/>
      <c r="M316" s="13"/>
      <c r="N316" s="13"/>
      <c r="O316" s="13"/>
      <c r="P316" s="11"/>
      <c r="Q316" s="13"/>
      <c r="R316" s="13"/>
      <c r="S316" s="13"/>
      <c r="T316" s="13"/>
      <c r="U316" s="13"/>
      <c r="V316" s="13"/>
      <c r="Y316" s="14"/>
      <c r="Z316" s="15"/>
    </row>
    <row r="317" spans="1:26" x14ac:dyDescent="0.25">
      <c r="A317" s="12"/>
      <c r="B317" s="12"/>
      <c r="C317" s="10"/>
      <c r="D317" s="10"/>
      <c r="E317" s="10"/>
      <c r="F317" s="10"/>
      <c r="G317" s="10"/>
      <c r="M317" s="13"/>
      <c r="N317" s="13"/>
      <c r="O317" s="13"/>
      <c r="P317" s="11"/>
      <c r="Q317" s="13"/>
      <c r="R317" s="13"/>
      <c r="S317" s="13"/>
      <c r="T317" s="13"/>
      <c r="U317" s="13"/>
      <c r="V317" s="13"/>
      <c r="Y317" s="14"/>
      <c r="Z317" s="15"/>
    </row>
    <row r="318" spans="1:26" x14ac:dyDescent="0.25">
      <c r="A318" s="12"/>
      <c r="B318" s="12"/>
      <c r="C318" s="10"/>
      <c r="D318" s="10"/>
      <c r="E318" s="10"/>
      <c r="F318" s="10"/>
      <c r="G318" s="10"/>
      <c r="M318" s="13"/>
      <c r="N318" s="13"/>
      <c r="O318" s="13"/>
      <c r="P318" s="11"/>
      <c r="Q318" s="13"/>
      <c r="R318" s="13"/>
      <c r="S318" s="13"/>
      <c r="T318" s="13"/>
      <c r="U318" s="13"/>
      <c r="V318" s="13"/>
      <c r="Y318" s="14"/>
      <c r="Z318" s="15"/>
    </row>
    <row r="319" spans="1:26" x14ac:dyDescent="0.25">
      <c r="A319" s="12"/>
      <c r="B319" s="12"/>
      <c r="C319" s="10"/>
      <c r="D319" s="10"/>
      <c r="E319" s="10"/>
      <c r="F319" s="10"/>
      <c r="G319" s="10"/>
      <c r="M319" s="13"/>
      <c r="N319" s="13"/>
      <c r="O319" s="13"/>
      <c r="P319" s="11"/>
      <c r="Q319" s="13"/>
      <c r="R319" s="13"/>
      <c r="S319" s="13"/>
      <c r="T319" s="13"/>
      <c r="U319" s="13"/>
      <c r="V319" s="13"/>
      <c r="Y319" s="14"/>
      <c r="Z319" s="15"/>
    </row>
    <row r="320" spans="1:26" x14ac:dyDescent="0.25">
      <c r="A320" s="12"/>
      <c r="B320" s="12"/>
      <c r="C320" s="10"/>
      <c r="D320" s="10"/>
      <c r="E320" s="10"/>
      <c r="F320" s="10"/>
      <c r="G320" s="10"/>
      <c r="M320" s="13"/>
      <c r="N320" s="13"/>
      <c r="O320" s="13"/>
      <c r="P320" s="11"/>
      <c r="Q320" s="13"/>
      <c r="R320" s="13"/>
      <c r="S320" s="13"/>
      <c r="T320" s="13"/>
      <c r="U320" s="13"/>
      <c r="V320" s="13"/>
      <c r="Y320" s="14"/>
      <c r="Z320" s="15"/>
    </row>
    <row r="321" spans="1:26" x14ac:dyDescent="0.25">
      <c r="A321" s="12"/>
      <c r="B321" s="12"/>
      <c r="C321" s="10"/>
      <c r="D321" s="10"/>
      <c r="E321" s="10"/>
      <c r="F321" s="10"/>
      <c r="G321" s="10"/>
      <c r="M321" s="13"/>
      <c r="N321" s="13"/>
      <c r="O321" s="13"/>
      <c r="P321" s="11"/>
      <c r="Q321" s="13"/>
      <c r="R321" s="13"/>
      <c r="S321" s="13"/>
      <c r="T321" s="13"/>
      <c r="U321" s="13"/>
      <c r="V321" s="13"/>
      <c r="Y321" s="14"/>
      <c r="Z321" s="15"/>
    </row>
    <row r="322" spans="1:26" x14ac:dyDescent="0.25">
      <c r="A322" s="12"/>
      <c r="B322" s="12"/>
      <c r="C322" s="10"/>
      <c r="D322" s="10"/>
      <c r="E322" s="10"/>
      <c r="F322" s="10"/>
      <c r="G322" s="10"/>
      <c r="M322" s="13"/>
      <c r="N322" s="13"/>
      <c r="O322" s="13"/>
      <c r="P322" s="11"/>
      <c r="Q322" s="13"/>
      <c r="R322" s="13"/>
      <c r="S322" s="13"/>
      <c r="T322" s="13"/>
      <c r="U322" s="13"/>
      <c r="V322" s="13"/>
      <c r="Y322" s="14"/>
      <c r="Z322" s="15"/>
    </row>
    <row r="323" spans="1:26" x14ac:dyDescent="0.25">
      <c r="A323" s="12"/>
      <c r="B323" s="12"/>
      <c r="C323" s="10"/>
      <c r="D323" s="10"/>
      <c r="E323" s="10"/>
      <c r="F323" s="10"/>
      <c r="G323" s="10"/>
      <c r="M323" s="13"/>
      <c r="N323" s="13"/>
      <c r="O323" s="13"/>
      <c r="P323" s="11"/>
      <c r="Q323" s="13"/>
      <c r="R323" s="13"/>
      <c r="S323" s="13"/>
      <c r="T323" s="13"/>
      <c r="U323" s="13"/>
      <c r="V323" s="13"/>
      <c r="Y323" s="14"/>
      <c r="Z323" s="15"/>
    </row>
    <row r="324" spans="1:26" x14ac:dyDescent="0.25">
      <c r="A324" s="12"/>
      <c r="B324" s="12"/>
      <c r="C324" s="10"/>
      <c r="D324" s="10"/>
      <c r="E324" s="10"/>
      <c r="F324" s="10"/>
      <c r="G324" s="10"/>
      <c r="M324" s="13"/>
      <c r="N324" s="13"/>
      <c r="O324" s="13"/>
      <c r="P324" s="11"/>
      <c r="Q324" s="13"/>
      <c r="R324" s="13"/>
      <c r="S324" s="13"/>
      <c r="T324" s="13"/>
      <c r="U324" s="13"/>
      <c r="V324" s="13"/>
      <c r="Y324" s="14"/>
      <c r="Z324" s="15"/>
    </row>
    <row r="325" spans="1:26" x14ac:dyDescent="0.25">
      <c r="A325" s="12"/>
      <c r="B325" s="12"/>
      <c r="C325" s="10"/>
      <c r="D325" s="10"/>
      <c r="E325" s="10"/>
      <c r="F325" s="10"/>
      <c r="G325" s="10"/>
      <c r="M325" s="13"/>
      <c r="N325" s="13"/>
      <c r="O325" s="13"/>
      <c r="P325" s="11"/>
      <c r="Q325" s="13"/>
      <c r="R325" s="13"/>
      <c r="S325" s="13"/>
      <c r="T325" s="13"/>
      <c r="U325" s="13"/>
      <c r="V325" s="13"/>
      <c r="Y325" s="14"/>
      <c r="Z325" s="15"/>
    </row>
    <row r="326" spans="1:26" x14ac:dyDescent="0.25">
      <c r="A326" s="12"/>
      <c r="B326" s="12"/>
      <c r="C326" s="10"/>
      <c r="D326" s="10"/>
      <c r="E326" s="10"/>
      <c r="F326" s="10"/>
      <c r="G326" s="10"/>
      <c r="M326" s="13"/>
      <c r="N326" s="13"/>
      <c r="O326" s="13"/>
      <c r="P326" s="11"/>
      <c r="Q326" s="13"/>
      <c r="R326" s="13"/>
      <c r="S326" s="13"/>
      <c r="T326" s="13"/>
      <c r="U326" s="13"/>
      <c r="V326" s="13"/>
      <c r="Y326" s="14"/>
      <c r="Z326" s="15"/>
    </row>
    <row r="327" spans="1:26" x14ac:dyDescent="0.25">
      <c r="A327" s="12"/>
      <c r="B327" s="12"/>
      <c r="C327" s="10"/>
      <c r="D327" s="10"/>
      <c r="E327" s="10"/>
      <c r="F327" s="10"/>
      <c r="G327" s="10"/>
      <c r="M327" s="13"/>
      <c r="N327" s="13"/>
      <c r="O327" s="13"/>
      <c r="P327" s="11"/>
      <c r="Q327" s="13"/>
      <c r="R327" s="13"/>
      <c r="S327" s="13"/>
      <c r="T327" s="13"/>
      <c r="U327" s="13"/>
      <c r="V327" s="13"/>
      <c r="Y327" s="14"/>
      <c r="Z327" s="15"/>
    </row>
    <row r="328" spans="1:26" x14ac:dyDescent="0.25">
      <c r="A328" s="12"/>
      <c r="B328" s="12"/>
      <c r="C328" s="10"/>
      <c r="D328" s="10"/>
      <c r="E328" s="10"/>
      <c r="F328" s="10"/>
      <c r="G328" s="10"/>
      <c r="M328" s="13"/>
      <c r="N328" s="13"/>
      <c r="O328" s="13"/>
      <c r="P328" s="11"/>
      <c r="Q328" s="13"/>
      <c r="R328" s="13"/>
      <c r="S328" s="13"/>
      <c r="T328" s="13"/>
      <c r="U328" s="13"/>
      <c r="V328" s="13"/>
      <c r="Y328" s="14"/>
      <c r="Z328" s="15"/>
    </row>
    <row r="329" spans="1:26" x14ac:dyDescent="0.25">
      <c r="A329" s="12"/>
      <c r="B329" s="12"/>
      <c r="C329" s="10"/>
      <c r="D329" s="10"/>
      <c r="E329" s="10"/>
      <c r="F329" s="10"/>
      <c r="G329" s="10"/>
      <c r="M329" s="13"/>
      <c r="N329" s="13"/>
      <c r="O329" s="13"/>
      <c r="P329" s="11"/>
      <c r="Q329" s="13"/>
      <c r="R329" s="13"/>
      <c r="S329" s="13"/>
      <c r="T329" s="13"/>
      <c r="U329" s="13"/>
      <c r="V329" s="13"/>
      <c r="Y329" s="14"/>
      <c r="Z329" s="15"/>
    </row>
    <row r="330" spans="1:26" x14ac:dyDescent="0.25">
      <c r="A330" s="12"/>
      <c r="B330" s="12"/>
      <c r="C330" s="10"/>
      <c r="D330" s="10"/>
      <c r="E330" s="10"/>
      <c r="F330" s="10"/>
      <c r="G330" s="10"/>
      <c r="M330" s="13"/>
      <c r="N330" s="13"/>
      <c r="O330" s="13"/>
      <c r="P330" s="11"/>
      <c r="Q330" s="13"/>
      <c r="R330" s="13"/>
      <c r="S330" s="13"/>
      <c r="T330" s="13"/>
      <c r="U330" s="13"/>
      <c r="V330" s="13"/>
      <c r="Y330" s="14"/>
      <c r="Z330" s="15"/>
    </row>
    <row r="331" spans="1:26" x14ac:dyDescent="0.25">
      <c r="A331" s="12"/>
      <c r="B331" s="12"/>
      <c r="C331" s="10"/>
      <c r="D331" s="10"/>
      <c r="E331" s="10"/>
      <c r="F331" s="10"/>
      <c r="G331" s="10"/>
      <c r="M331" s="13"/>
      <c r="N331" s="13"/>
      <c r="O331" s="13"/>
      <c r="P331" s="11"/>
      <c r="Q331" s="13"/>
      <c r="R331" s="13"/>
      <c r="S331" s="13"/>
      <c r="T331" s="13"/>
      <c r="U331" s="13"/>
      <c r="V331" s="13"/>
      <c r="Y331" s="14"/>
      <c r="Z331" s="15"/>
    </row>
    <row r="332" spans="1:26" x14ac:dyDescent="0.25">
      <c r="A332" s="12"/>
      <c r="B332" s="12"/>
      <c r="C332" s="10"/>
      <c r="D332" s="10"/>
      <c r="E332" s="10"/>
      <c r="F332" s="10"/>
      <c r="G332" s="10"/>
      <c r="M332" s="13"/>
      <c r="N332" s="13"/>
      <c r="O332" s="13"/>
      <c r="P332" s="11"/>
      <c r="Q332" s="13"/>
      <c r="R332" s="13"/>
      <c r="S332" s="13"/>
      <c r="T332" s="13"/>
      <c r="U332" s="13"/>
      <c r="V332" s="13"/>
      <c r="Y332" s="14"/>
      <c r="Z332" s="15"/>
    </row>
    <row r="333" spans="1:26" x14ac:dyDescent="0.25">
      <c r="A333" s="12"/>
      <c r="B333" s="12"/>
      <c r="C333" s="10"/>
      <c r="D333" s="10"/>
      <c r="E333" s="10"/>
      <c r="F333" s="10"/>
      <c r="G333" s="10"/>
      <c r="M333" s="13"/>
      <c r="N333" s="13"/>
      <c r="O333" s="13"/>
      <c r="P333" s="11"/>
      <c r="Q333" s="13"/>
      <c r="R333" s="13"/>
      <c r="S333" s="13"/>
      <c r="T333" s="13"/>
      <c r="U333" s="13"/>
      <c r="V333" s="13"/>
      <c r="Y333" s="14"/>
      <c r="Z333" s="15"/>
    </row>
    <row r="334" spans="1:26" x14ac:dyDescent="0.25">
      <c r="A334" s="12"/>
      <c r="B334" s="12"/>
      <c r="C334" s="10"/>
      <c r="D334" s="10"/>
      <c r="E334" s="10"/>
      <c r="F334" s="10"/>
      <c r="G334" s="10"/>
      <c r="M334" s="13"/>
      <c r="N334" s="13"/>
      <c r="O334" s="13"/>
      <c r="P334" s="11"/>
      <c r="Q334" s="13"/>
      <c r="R334" s="13"/>
      <c r="S334" s="13"/>
      <c r="T334" s="13"/>
      <c r="U334" s="13"/>
      <c r="V334" s="13"/>
      <c r="Y334" s="14"/>
      <c r="Z334" s="15"/>
    </row>
    <row r="335" spans="1:26" x14ac:dyDescent="0.25">
      <c r="A335" s="12"/>
      <c r="B335" s="12"/>
      <c r="C335" s="10"/>
      <c r="D335" s="10"/>
      <c r="E335" s="10"/>
      <c r="F335" s="10"/>
      <c r="G335" s="10"/>
      <c r="M335" s="13"/>
      <c r="N335" s="13"/>
      <c r="O335" s="13"/>
      <c r="P335" s="11"/>
      <c r="Q335" s="13"/>
      <c r="R335" s="13"/>
      <c r="S335" s="13"/>
      <c r="T335" s="13"/>
      <c r="U335" s="13"/>
      <c r="V335" s="13"/>
      <c r="Y335" s="14"/>
      <c r="Z335" s="15"/>
    </row>
    <row r="336" spans="1:26" x14ac:dyDescent="0.25">
      <c r="A336" s="12"/>
      <c r="B336" s="12"/>
      <c r="C336" s="10"/>
      <c r="D336" s="10"/>
      <c r="E336" s="10"/>
      <c r="F336" s="10"/>
      <c r="G336" s="10"/>
      <c r="M336" s="13"/>
      <c r="N336" s="13"/>
      <c r="O336" s="13"/>
      <c r="P336" s="11"/>
      <c r="Q336" s="13"/>
      <c r="R336" s="13"/>
      <c r="S336" s="13"/>
      <c r="T336" s="13"/>
      <c r="U336" s="13"/>
      <c r="V336" s="13"/>
      <c r="Y336" s="14"/>
      <c r="Z336" s="15"/>
    </row>
    <row r="337" spans="1:26" x14ac:dyDescent="0.25">
      <c r="A337" s="12"/>
      <c r="B337" s="12"/>
      <c r="C337" s="10"/>
      <c r="D337" s="10"/>
      <c r="E337" s="10"/>
      <c r="F337" s="10"/>
      <c r="G337" s="10"/>
      <c r="M337" s="13"/>
      <c r="N337" s="13"/>
      <c r="O337" s="13"/>
      <c r="P337" s="11"/>
      <c r="Q337" s="13"/>
      <c r="R337" s="13"/>
      <c r="S337" s="13"/>
      <c r="T337" s="13"/>
      <c r="U337" s="13"/>
      <c r="V337" s="13"/>
      <c r="Y337" s="14"/>
      <c r="Z337" s="15"/>
    </row>
    <row r="338" spans="1:26" x14ac:dyDescent="0.25">
      <c r="A338" s="12"/>
      <c r="B338" s="12"/>
      <c r="C338" s="10"/>
      <c r="D338" s="10"/>
      <c r="E338" s="10"/>
      <c r="F338" s="10"/>
      <c r="G338" s="10"/>
      <c r="M338" s="13"/>
      <c r="N338" s="13"/>
      <c r="O338" s="13"/>
      <c r="P338" s="11"/>
      <c r="Q338" s="13"/>
      <c r="R338" s="13"/>
      <c r="S338" s="13"/>
      <c r="T338" s="13"/>
      <c r="U338" s="13"/>
      <c r="V338" s="13"/>
      <c r="Y338" s="14"/>
      <c r="Z338" s="15"/>
    </row>
    <row r="339" spans="1:26" x14ac:dyDescent="0.25">
      <c r="A339" s="12"/>
      <c r="B339" s="12"/>
      <c r="C339" s="10"/>
      <c r="D339" s="10"/>
      <c r="E339" s="10"/>
      <c r="F339" s="10"/>
      <c r="G339" s="10"/>
      <c r="M339" s="13"/>
      <c r="N339" s="13"/>
      <c r="O339" s="13"/>
      <c r="P339" s="11"/>
      <c r="Q339" s="13"/>
      <c r="R339" s="13"/>
      <c r="S339" s="13"/>
      <c r="T339" s="13"/>
      <c r="U339" s="13"/>
      <c r="V339" s="13"/>
      <c r="Y339" s="14"/>
      <c r="Z339" s="15"/>
    </row>
    <row r="340" spans="1:26" x14ac:dyDescent="0.25">
      <c r="A340" s="12"/>
      <c r="B340" s="12"/>
      <c r="C340" s="10"/>
      <c r="D340" s="10"/>
      <c r="E340" s="10"/>
      <c r="F340" s="10"/>
      <c r="G340" s="10"/>
      <c r="M340" s="13"/>
      <c r="N340" s="13"/>
      <c r="O340" s="13"/>
      <c r="P340" s="11"/>
      <c r="Q340" s="13"/>
      <c r="R340" s="13"/>
      <c r="S340" s="13"/>
      <c r="T340" s="13"/>
      <c r="U340" s="13"/>
      <c r="V340" s="13"/>
      <c r="Y340" s="14"/>
      <c r="Z340" s="15"/>
    </row>
    <row r="341" spans="1:26" x14ac:dyDescent="0.25">
      <c r="A341" s="12"/>
      <c r="B341" s="12"/>
      <c r="C341" s="10"/>
      <c r="D341" s="10"/>
      <c r="E341" s="10"/>
      <c r="F341" s="10"/>
      <c r="G341" s="10"/>
      <c r="M341" s="13"/>
      <c r="N341" s="13"/>
      <c r="O341" s="13"/>
      <c r="P341" s="11"/>
      <c r="Q341" s="13"/>
      <c r="R341" s="13"/>
      <c r="S341" s="13"/>
      <c r="T341" s="13"/>
      <c r="U341" s="13"/>
      <c r="V341" s="13"/>
      <c r="Y341" s="14"/>
      <c r="Z341" s="15"/>
    </row>
    <row r="342" spans="1:26" x14ac:dyDescent="0.25">
      <c r="A342" s="12"/>
      <c r="B342" s="12"/>
      <c r="C342" s="10"/>
      <c r="D342" s="10"/>
      <c r="E342" s="10"/>
      <c r="F342" s="10"/>
      <c r="G342" s="10"/>
      <c r="M342" s="13"/>
      <c r="N342" s="13"/>
      <c r="O342" s="13"/>
      <c r="P342" s="11"/>
      <c r="Q342" s="13"/>
      <c r="R342" s="13"/>
      <c r="S342" s="13"/>
      <c r="T342" s="13"/>
      <c r="U342" s="13"/>
      <c r="V342" s="13"/>
      <c r="Y342" s="14"/>
      <c r="Z342" s="15"/>
    </row>
    <row r="343" spans="1:26" x14ac:dyDescent="0.25">
      <c r="A343" s="12"/>
      <c r="B343" s="12"/>
      <c r="C343" s="10"/>
      <c r="D343" s="10"/>
      <c r="E343" s="10"/>
      <c r="F343" s="10"/>
      <c r="G343" s="10"/>
      <c r="M343" s="13"/>
      <c r="N343" s="13"/>
      <c r="O343" s="13"/>
      <c r="P343" s="11"/>
      <c r="Q343" s="13"/>
      <c r="R343" s="13"/>
      <c r="S343" s="13"/>
      <c r="T343" s="13"/>
      <c r="U343" s="13"/>
      <c r="V343" s="13"/>
      <c r="Y343" s="14"/>
      <c r="Z343" s="15"/>
    </row>
    <row r="344" spans="1:26" x14ac:dyDescent="0.25">
      <c r="A344" s="12"/>
      <c r="B344" s="12"/>
      <c r="C344" s="10"/>
      <c r="D344" s="10"/>
      <c r="E344" s="10"/>
      <c r="F344" s="10"/>
      <c r="G344" s="10"/>
      <c r="M344" s="13"/>
      <c r="N344" s="13"/>
      <c r="O344" s="13"/>
      <c r="P344" s="11"/>
      <c r="Q344" s="13"/>
      <c r="R344" s="13"/>
      <c r="S344" s="13"/>
      <c r="T344" s="13"/>
      <c r="U344" s="13"/>
      <c r="V344" s="13"/>
      <c r="Y344" s="14"/>
      <c r="Z344" s="15"/>
    </row>
    <row r="345" spans="1:26" x14ac:dyDescent="0.25">
      <c r="A345" s="12"/>
      <c r="B345" s="12"/>
      <c r="C345" s="10"/>
      <c r="D345" s="10"/>
      <c r="E345" s="10"/>
      <c r="F345" s="10"/>
      <c r="G345" s="10"/>
      <c r="M345" s="13"/>
      <c r="N345" s="13"/>
      <c r="O345" s="13"/>
      <c r="P345" s="11"/>
      <c r="Q345" s="13"/>
      <c r="R345" s="13"/>
      <c r="S345" s="13"/>
      <c r="T345" s="13"/>
      <c r="U345" s="13"/>
      <c r="V345" s="13"/>
      <c r="Y345" s="14"/>
      <c r="Z345" s="15"/>
    </row>
    <row r="346" spans="1:26" x14ac:dyDescent="0.25">
      <c r="A346" s="12"/>
      <c r="B346" s="12"/>
      <c r="C346" s="10"/>
      <c r="D346" s="10"/>
      <c r="E346" s="10"/>
      <c r="F346" s="10"/>
      <c r="G346" s="10"/>
      <c r="M346" s="13"/>
      <c r="N346" s="13"/>
      <c r="O346" s="13"/>
      <c r="P346" s="11"/>
      <c r="Q346" s="13"/>
      <c r="R346" s="13"/>
      <c r="S346" s="13"/>
      <c r="T346" s="13"/>
      <c r="U346" s="13"/>
      <c r="V346" s="13"/>
      <c r="Y346" s="14"/>
      <c r="Z346" s="15"/>
    </row>
    <row r="347" spans="1:26" x14ac:dyDescent="0.25">
      <c r="A347" s="12"/>
      <c r="B347" s="12"/>
      <c r="C347" s="10"/>
      <c r="D347" s="10"/>
      <c r="E347" s="10"/>
      <c r="F347" s="10"/>
      <c r="G347" s="10"/>
      <c r="M347" s="13"/>
      <c r="N347" s="13"/>
      <c r="O347" s="13"/>
      <c r="P347" s="11"/>
      <c r="Q347" s="13"/>
      <c r="R347" s="13"/>
      <c r="S347" s="13"/>
      <c r="T347" s="13"/>
      <c r="U347" s="13"/>
      <c r="V347" s="13"/>
      <c r="Y347" s="14"/>
      <c r="Z347" s="15"/>
    </row>
    <row r="348" spans="1:26" x14ac:dyDescent="0.25">
      <c r="A348" s="12"/>
      <c r="B348" s="12"/>
      <c r="C348" s="10"/>
      <c r="D348" s="10"/>
      <c r="E348" s="10"/>
      <c r="F348" s="10"/>
      <c r="G348" s="10"/>
      <c r="M348" s="13"/>
      <c r="N348" s="13"/>
      <c r="O348" s="13"/>
      <c r="P348" s="11"/>
      <c r="Q348" s="13"/>
      <c r="R348" s="13"/>
      <c r="S348" s="13"/>
      <c r="T348" s="13"/>
      <c r="U348" s="13"/>
      <c r="V348" s="13"/>
      <c r="Y348" s="14"/>
      <c r="Z348" s="15"/>
    </row>
    <row r="349" spans="1:26" x14ac:dyDescent="0.25">
      <c r="A349" s="12"/>
      <c r="B349" s="12"/>
      <c r="C349" s="10"/>
      <c r="D349" s="10"/>
      <c r="E349" s="10"/>
      <c r="F349" s="10"/>
      <c r="G349" s="10"/>
      <c r="M349" s="13"/>
      <c r="N349" s="13"/>
      <c r="O349" s="13"/>
      <c r="P349" s="11"/>
      <c r="Q349" s="13"/>
      <c r="R349" s="13"/>
      <c r="S349" s="13"/>
      <c r="T349" s="13"/>
      <c r="U349" s="13"/>
      <c r="V349" s="13"/>
      <c r="Y349" s="14"/>
      <c r="Z349" s="15"/>
    </row>
    <row r="350" spans="1:26" x14ac:dyDescent="0.25">
      <c r="A350" s="12"/>
      <c r="B350" s="12"/>
      <c r="C350" s="10"/>
      <c r="D350" s="10"/>
      <c r="E350" s="10"/>
      <c r="F350" s="10"/>
      <c r="G350" s="10"/>
      <c r="M350" s="13"/>
      <c r="N350" s="13"/>
      <c r="O350" s="13"/>
      <c r="P350" s="11"/>
      <c r="Q350" s="13"/>
      <c r="R350" s="13"/>
      <c r="S350" s="13"/>
      <c r="T350" s="13"/>
      <c r="U350" s="13"/>
      <c r="V350" s="13"/>
      <c r="Y350" s="14"/>
      <c r="Z350" s="15"/>
    </row>
    <row r="351" spans="1:26" x14ac:dyDescent="0.25">
      <c r="A351" s="12"/>
      <c r="B351" s="12"/>
      <c r="C351" s="10"/>
      <c r="D351" s="10"/>
      <c r="E351" s="10"/>
      <c r="F351" s="10"/>
      <c r="G351" s="10"/>
      <c r="M351" s="13"/>
      <c r="N351" s="13"/>
      <c r="O351" s="13"/>
      <c r="P351" s="11"/>
      <c r="Q351" s="13"/>
      <c r="R351" s="13"/>
      <c r="S351" s="13"/>
      <c r="T351" s="13"/>
      <c r="U351" s="13"/>
      <c r="V351" s="13"/>
      <c r="Y351" s="14"/>
      <c r="Z351" s="15"/>
    </row>
    <row r="352" spans="1:26" x14ac:dyDescent="0.25">
      <c r="A352" s="12"/>
      <c r="B352" s="12"/>
      <c r="C352" s="10"/>
      <c r="D352" s="10"/>
      <c r="E352" s="10"/>
      <c r="F352" s="10"/>
      <c r="G352" s="10"/>
      <c r="M352" s="13"/>
      <c r="N352" s="13"/>
      <c r="O352" s="13"/>
      <c r="P352" s="11"/>
      <c r="Q352" s="13"/>
      <c r="R352" s="13"/>
      <c r="S352" s="13"/>
      <c r="T352" s="13"/>
      <c r="U352" s="13"/>
      <c r="V352" s="13"/>
      <c r="Y352" s="14"/>
      <c r="Z352" s="15"/>
    </row>
    <row r="353" spans="1:26" x14ac:dyDescent="0.25">
      <c r="A353" s="12"/>
      <c r="B353" s="12"/>
      <c r="C353" s="10"/>
      <c r="D353" s="10"/>
      <c r="E353" s="10"/>
      <c r="F353" s="10"/>
      <c r="G353" s="10"/>
      <c r="M353" s="13"/>
      <c r="N353" s="13"/>
      <c r="O353" s="13"/>
      <c r="P353" s="11"/>
      <c r="Q353" s="13"/>
      <c r="R353" s="13"/>
      <c r="S353" s="13"/>
      <c r="T353" s="13"/>
      <c r="U353" s="13"/>
      <c r="V353" s="13"/>
      <c r="Y353" s="14"/>
      <c r="Z353" s="15"/>
    </row>
    <row r="354" spans="1:26" x14ac:dyDescent="0.25">
      <c r="A354" s="12"/>
      <c r="B354" s="12"/>
      <c r="C354" s="10"/>
      <c r="D354" s="10"/>
      <c r="E354" s="10"/>
      <c r="F354" s="10"/>
      <c r="G354" s="10"/>
      <c r="M354" s="13"/>
      <c r="N354" s="13"/>
      <c r="O354" s="13"/>
      <c r="P354" s="11"/>
      <c r="Q354" s="13"/>
      <c r="R354" s="13"/>
      <c r="S354" s="13"/>
      <c r="T354" s="13"/>
      <c r="U354" s="13"/>
      <c r="V354" s="13"/>
      <c r="Y354" s="14"/>
      <c r="Z354" s="15"/>
    </row>
    <row r="355" spans="1:26" x14ac:dyDescent="0.25">
      <c r="A355" s="12"/>
      <c r="B355" s="12"/>
      <c r="C355" s="10"/>
      <c r="D355" s="10"/>
      <c r="E355" s="10"/>
      <c r="F355" s="10"/>
      <c r="G355" s="10"/>
      <c r="M355" s="13"/>
      <c r="N355" s="13"/>
      <c r="O355" s="13"/>
      <c r="P355" s="11"/>
      <c r="Q355" s="13"/>
      <c r="R355" s="13"/>
      <c r="S355" s="13"/>
      <c r="T355" s="13"/>
      <c r="U355" s="13"/>
      <c r="V355" s="13"/>
      <c r="Y355" s="14"/>
      <c r="Z355" s="15"/>
    </row>
    <row r="356" spans="1:26" x14ac:dyDescent="0.25">
      <c r="A356" s="12"/>
      <c r="B356" s="12"/>
      <c r="C356" s="10"/>
      <c r="D356" s="10"/>
      <c r="E356" s="10"/>
      <c r="F356" s="10"/>
      <c r="G356" s="10"/>
      <c r="M356" s="13"/>
      <c r="N356" s="13"/>
      <c r="O356" s="13"/>
      <c r="P356" s="11"/>
      <c r="Q356" s="13"/>
      <c r="R356" s="13"/>
      <c r="S356" s="13"/>
      <c r="T356" s="13"/>
      <c r="U356" s="13"/>
      <c r="V356" s="13"/>
      <c r="Y356" s="14"/>
      <c r="Z356" s="15"/>
    </row>
    <row r="357" spans="1:26" x14ac:dyDescent="0.25">
      <c r="A357" s="12"/>
      <c r="B357" s="12"/>
      <c r="C357" s="10"/>
      <c r="D357" s="10"/>
      <c r="E357" s="10"/>
      <c r="F357" s="10"/>
      <c r="G357" s="10"/>
      <c r="M357" s="13"/>
      <c r="N357" s="13"/>
      <c r="O357" s="13"/>
      <c r="P357" s="11"/>
      <c r="Q357" s="13"/>
      <c r="R357" s="13"/>
      <c r="S357" s="13"/>
      <c r="T357" s="13"/>
      <c r="U357" s="13"/>
      <c r="V357" s="13"/>
      <c r="Y357" s="14"/>
      <c r="Z357" s="15"/>
    </row>
    <row r="358" spans="1:26" x14ac:dyDescent="0.25">
      <c r="A358" s="12"/>
      <c r="B358" s="12"/>
      <c r="C358" s="10"/>
      <c r="D358" s="10"/>
      <c r="E358" s="10"/>
      <c r="F358" s="10"/>
      <c r="G358" s="10"/>
      <c r="M358" s="13"/>
      <c r="N358" s="13"/>
      <c r="O358" s="13"/>
      <c r="P358" s="11"/>
      <c r="Q358" s="13"/>
      <c r="R358" s="13"/>
      <c r="S358" s="13"/>
      <c r="T358" s="13"/>
      <c r="U358" s="13"/>
      <c r="V358" s="13"/>
      <c r="Y358" s="14"/>
      <c r="Z358" s="15"/>
    </row>
    <row r="359" spans="1:26" x14ac:dyDescent="0.25">
      <c r="A359" s="12"/>
      <c r="B359" s="12"/>
      <c r="C359" s="10"/>
      <c r="D359" s="10"/>
      <c r="E359" s="10"/>
      <c r="F359" s="10"/>
      <c r="G359" s="10"/>
      <c r="M359" s="13"/>
      <c r="N359" s="13"/>
      <c r="O359" s="13"/>
      <c r="P359" s="11"/>
      <c r="Q359" s="13"/>
      <c r="R359" s="13"/>
      <c r="S359" s="13"/>
      <c r="T359" s="13"/>
      <c r="U359" s="13"/>
      <c r="V359" s="13"/>
      <c r="Y359" s="14"/>
      <c r="Z359" s="15"/>
    </row>
    <row r="360" spans="1:26" x14ac:dyDescent="0.25">
      <c r="A360" s="12"/>
      <c r="B360" s="12"/>
      <c r="C360" s="10"/>
      <c r="D360" s="10"/>
      <c r="E360" s="10"/>
      <c r="F360" s="10"/>
      <c r="G360" s="10"/>
      <c r="M360" s="13"/>
      <c r="N360" s="13"/>
      <c r="O360" s="13"/>
      <c r="P360" s="11"/>
      <c r="Q360" s="13"/>
      <c r="R360" s="13"/>
      <c r="S360" s="13"/>
      <c r="T360" s="13"/>
      <c r="U360" s="13"/>
      <c r="V360" s="13"/>
      <c r="Y360" s="14"/>
      <c r="Z360" s="15"/>
    </row>
    <row r="361" spans="1:26" x14ac:dyDescent="0.25">
      <c r="A361" s="12"/>
      <c r="B361" s="12"/>
      <c r="C361" s="10"/>
      <c r="D361" s="10"/>
      <c r="E361" s="10"/>
      <c r="F361" s="10"/>
      <c r="G361" s="10"/>
      <c r="M361" s="13"/>
      <c r="N361" s="13"/>
      <c r="O361" s="13"/>
      <c r="P361" s="11"/>
      <c r="Q361" s="13"/>
      <c r="R361" s="13"/>
      <c r="S361" s="13"/>
      <c r="T361" s="13"/>
      <c r="U361" s="13"/>
      <c r="V361" s="13"/>
      <c r="Y361" s="14"/>
      <c r="Z361" s="15"/>
    </row>
    <row r="362" spans="1:26" x14ac:dyDescent="0.25">
      <c r="A362" s="12"/>
      <c r="B362" s="12"/>
      <c r="C362" s="10"/>
      <c r="D362" s="10"/>
      <c r="E362" s="10"/>
      <c r="F362" s="10"/>
      <c r="G362" s="10"/>
      <c r="M362" s="13"/>
      <c r="N362" s="13"/>
      <c r="O362" s="13"/>
      <c r="P362" s="11"/>
      <c r="Q362" s="13"/>
      <c r="R362" s="13"/>
      <c r="S362" s="13"/>
      <c r="T362" s="13"/>
      <c r="U362" s="13"/>
      <c r="V362" s="13"/>
      <c r="Y362" s="14"/>
      <c r="Z362" s="15"/>
    </row>
    <row r="363" spans="1:26" x14ac:dyDescent="0.25">
      <c r="A363" s="12"/>
      <c r="B363" s="12"/>
      <c r="C363" s="10"/>
      <c r="D363" s="10"/>
      <c r="E363" s="10"/>
      <c r="F363" s="10"/>
      <c r="G363" s="10"/>
      <c r="M363" s="13"/>
      <c r="N363" s="13"/>
      <c r="O363" s="13"/>
      <c r="P363" s="11"/>
      <c r="Q363" s="13"/>
      <c r="R363" s="13"/>
      <c r="S363" s="13"/>
      <c r="T363" s="13"/>
      <c r="U363" s="13"/>
      <c r="V363" s="13"/>
      <c r="Y363" s="14"/>
      <c r="Z363" s="15"/>
    </row>
    <row r="364" spans="1:26" x14ac:dyDescent="0.25">
      <c r="A364" s="12"/>
      <c r="B364" s="12"/>
      <c r="C364" s="10"/>
      <c r="D364" s="10"/>
      <c r="E364" s="10"/>
      <c r="F364" s="10"/>
      <c r="G364" s="10"/>
      <c r="M364" s="13"/>
      <c r="N364" s="13"/>
      <c r="O364" s="13"/>
      <c r="P364" s="11"/>
      <c r="Q364" s="13"/>
      <c r="R364" s="13"/>
      <c r="S364" s="13"/>
      <c r="T364" s="13"/>
      <c r="U364" s="13"/>
      <c r="V364" s="13"/>
      <c r="Y364" s="14"/>
      <c r="Z364" s="15"/>
    </row>
    <row r="365" spans="1:26" x14ac:dyDescent="0.25">
      <c r="A365" s="12"/>
      <c r="B365" s="12"/>
      <c r="C365" s="10"/>
      <c r="D365" s="10"/>
      <c r="E365" s="10"/>
      <c r="F365" s="10"/>
      <c r="G365" s="10"/>
      <c r="M365" s="13"/>
      <c r="N365" s="13"/>
      <c r="O365" s="13"/>
      <c r="P365" s="11"/>
      <c r="Q365" s="13"/>
      <c r="R365" s="13"/>
      <c r="S365" s="13"/>
      <c r="T365" s="13"/>
      <c r="U365" s="13"/>
      <c r="V365" s="13"/>
      <c r="Y365" s="14"/>
      <c r="Z365" s="15"/>
    </row>
    <row r="366" spans="1:26" x14ac:dyDescent="0.25">
      <c r="A366" s="12"/>
      <c r="B366" s="12"/>
      <c r="C366" s="10"/>
      <c r="D366" s="10"/>
      <c r="E366" s="10"/>
      <c r="F366" s="10"/>
      <c r="G366" s="10"/>
      <c r="M366" s="13"/>
      <c r="N366" s="13"/>
      <c r="O366" s="13"/>
      <c r="P366" s="11"/>
      <c r="Q366" s="13"/>
      <c r="R366" s="13"/>
      <c r="S366" s="13"/>
      <c r="T366" s="13"/>
      <c r="U366" s="13"/>
      <c r="V366" s="13"/>
      <c r="Y366" s="14"/>
      <c r="Z366" s="15"/>
    </row>
    <row r="367" spans="1:26" x14ac:dyDescent="0.25">
      <c r="A367" s="12"/>
      <c r="B367" s="12"/>
      <c r="C367" s="10"/>
      <c r="D367" s="10"/>
      <c r="E367" s="10"/>
      <c r="F367" s="10"/>
      <c r="G367" s="10"/>
      <c r="M367" s="13"/>
      <c r="N367" s="13"/>
      <c r="O367" s="13"/>
      <c r="P367" s="11"/>
      <c r="Q367" s="13"/>
      <c r="R367" s="13"/>
      <c r="S367" s="13"/>
      <c r="T367" s="13"/>
      <c r="U367" s="13"/>
      <c r="V367" s="13"/>
      <c r="Y367" s="14"/>
      <c r="Z367" s="15"/>
    </row>
    <row r="368" spans="1:26" x14ac:dyDescent="0.25">
      <c r="A368" s="12"/>
      <c r="B368" s="12"/>
      <c r="C368" s="10"/>
      <c r="D368" s="10"/>
      <c r="E368" s="10"/>
      <c r="F368" s="10"/>
      <c r="G368" s="10"/>
      <c r="M368" s="13"/>
      <c r="N368" s="13"/>
      <c r="O368" s="13"/>
      <c r="P368" s="11"/>
      <c r="Q368" s="13"/>
      <c r="R368" s="13"/>
      <c r="S368" s="13"/>
      <c r="T368" s="13"/>
      <c r="U368" s="13"/>
      <c r="V368" s="13"/>
      <c r="Y368" s="14"/>
      <c r="Z368" s="15"/>
    </row>
    <row r="369" spans="1:26" x14ac:dyDescent="0.25">
      <c r="A369" s="12"/>
      <c r="B369" s="12"/>
      <c r="C369" s="10"/>
      <c r="D369" s="10"/>
      <c r="E369" s="10"/>
      <c r="F369" s="10"/>
      <c r="G369" s="10"/>
      <c r="M369" s="13"/>
      <c r="N369" s="13"/>
      <c r="O369" s="13"/>
      <c r="P369" s="11"/>
      <c r="Q369" s="13"/>
      <c r="R369" s="13"/>
      <c r="S369" s="13"/>
      <c r="T369" s="13"/>
      <c r="U369" s="13"/>
      <c r="V369" s="13"/>
      <c r="Y369" s="14"/>
      <c r="Z369" s="15"/>
    </row>
    <row r="370" spans="1:26" x14ac:dyDescent="0.25">
      <c r="A370" s="12"/>
      <c r="B370" s="12"/>
      <c r="C370" s="10"/>
      <c r="D370" s="10"/>
      <c r="E370" s="10"/>
      <c r="F370" s="10"/>
      <c r="G370" s="10"/>
      <c r="M370" s="13"/>
      <c r="N370" s="13"/>
      <c r="O370" s="13"/>
      <c r="P370" s="11"/>
      <c r="Q370" s="13"/>
      <c r="R370" s="13"/>
      <c r="S370" s="13"/>
      <c r="T370" s="13"/>
      <c r="U370" s="13"/>
      <c r="V370" s="13"/>
      <c r="Y370" s="14"/>
      <c r="Z370" s="15"/>
    </row>
    <row r="371" spans="1:26" x14ac:dyDescent="0.25">
      <c r="A371" s="12"/>
      <c r="B371" s="12"/>
      <c r="C371" s="10"/>
      <c r="D371" s="10"/>
      <c r="E371" s="10"/>
      <c r="F371" s="10"/>
      <c r="G371" s="10"/>
      <c r="M371" s="13"/>
      <c r="N371" s="13"/>
      <c r="O371" s="13"/>
      <c r="P371" s="11"/>
      <c r="Q371" s="13"/>
      <c r="R371" s="13"/>
      <c r="S371" s="13"/>
      <c r="T371" s="13"/>
      <c r="U371" s="13"/>
      <c r="V371" s="13"/>
      <c r="Y371" s="14"/>
      <c r="Z371" s="15"/>
    </row>
    <row r="372" spans="1:26" x14ac:dyDescent="0.25">
      <c r="A372" s="12"/>
      <c r="B372" s="12"/>
      <c r="C372" s="10"/>
      <c r="D372" s="10"/>
      <c r="E372" s="10"/>
      <c r="F372" s="10"/>
      <c r="G372" s="10"/>
      <c r="M372" s="13"/>
      <c r="N372" s="13"/>
      <c r="O372" s="13"/>
      <c r="P372" s="11"/>
      <c r="Q372" s="13"/>
      <c r="R372" s="13"/>
      <c r="S372" s="13"/>
      <c r="T372" s="13"/>
      <c r="U372" s="13"/>
      <c r="V372" s="13"/>
      <c r="Y372" s="14"/>
      <c r="Z372" s="15"/>
    </row>
    <row r="373" spans="1:26" x14ac:dyDescent="0.25">
      <c r="A373" s="12"/>
      <c r="B373" s="12"/>
      <c r="C373" s="10"/>
      <c r="D373" s="10"/>
      <c r="E373" s="10"/>
      <c r="F373" s="10"/>
      <c r="G373" s="10"/>
      <c r="M373" s="13"/>
      <c r="N373" s="13"/>
      <c r="O373" s="13"/>
      <c r="P373" s="11"/>
      <c r="Q373" s="13"/>
      <c r="R373" s="13"/>
      <c r="S373" s="13"/>
      <c r="T373" s="13"/>
      <c r="U373" s="13"/>
      <c r="V373" s="13"/>
      <c r="Y373" s="14"/>
      <c r="Z373" s="15"/>
    </row>
    <row r="374" spans="1:26" x14ac:dyDescent="0.25">
      <c r="A374" s="12"/>
      <c r="B374" s="12"/>
      <c r="C374" s="10"/>
      <c r="D374" s="10"/>
      <c r="E374" s="10"/>
      <c r="F374" s="10"/>
      <c r="G374" s="10"/>
      <c r="M374" s="13"/>
      <c r="N374" s="13"/>
      <c r="O374" s="13"/>
      <c r="P374" s="11"/>
      <c r="Q374" s="13"/>
      <c r="R374" s="13"/>
      <c r="S374" s="13"/>
      <c r="T374" s="13"/>
      <c r="U374" s="13"/>
      <c r="V374" s="13"/>
      <c r="Y374" s="14"/>
      <c r="Z374" s="15"/>
    </row>
    <row r="375" spans="1:26" x14ac:dyDescent="0.25">
      <c r="A375" s="12"/>
      <c r="B375" s="12"/>
      <c r="C375" s="10"/>
      <c r="D375" s="10"/>
      <c r="E375" s="10"/>
      <c r="F375" s="10"/>
      <c r="G375" s="10"/>
      <c r="M375" s="13"/>
      <c r="N375" s="13"/>
      <c r="O375" s="13"/>
      <c r="P375" s="11"/>
      <c r="Q375" s="13"/>
      <c r="R375" s="13"/>
      <c r="S375" s="13"/>
      <c r="T375" s="13"/>
      <c r="U375" s="13"/>
      <c r="V375" s="13"/>
      <c r="Y375" s="14"/>
      <c r="Z375" s="15"/>
    </row>
    <row r="376" spans="1:26" x14ac:dyDescent="0.25">
      <c r="A376" s="12"/>
      <c r="B376" s="12"/>
      <c r="C376" s="10"/>
      <c r="D376" s="10"/>
      <c r="E376" s="10"/>
      <c r="F376" s="10"/>
      <c r="G376" s="10"/>
      <c r="M376" s="13"/>
      <c r="N376" s="13"/>
      <c r="O376" s="13"/>
      <c r="P376" s="11"/>
      <c r="Q376" s="13"/>
      <c r="R376" s="13"/>
      <c r="S376" s="13"/>
      <c r="T376" s="13"/>
      <c r="U376" s="13"/>
      <c r="V376" s="13"/>
      <c r="Y376" s="14"/>
      <c r="Z376" s="15"/>
    </row>
    <row r="377" spans="1:26" x14ac:dyDescent="0.25">
      <c r="A377" s="12"/>
      <c r="B377" s="12"/>
      <c r="C377" s="10"/>
      <c r="D377" s="10"/>
      <c r="E377" s="10"/>
      <c r="F377" s="10"/>
      <c r="G377" s="10"/>
      <c r="M377" s="13"/>
      <c r="N377" s="13"/>
      <c r="O377" s="13"/>
      <c r="P377" s="11"/>
      <c r="Q377" s="13"/>
      <c r="R377" s="13"/>
      <c r="S377" s="13"/>
      <c r="T377" s="13"/>
      <c r="U377" s="13"/>
      <c r="V377" s="13"/>
      <c r="Y377" s="14"/>
      <c r="Z377" s="15"/>
    </row>
    <row r="378" spans="1:26" x14ac:dyDescent="0.25">
      <c r="A378" s="12"/>
      <c r="B378" s="12"/>
      <c r="C378" s="10"/>
      <c r="D378" s="10"/>
      <c r="E378" s="10"/>
      <c r="F378" s="10"/>
      <c r="G378" s="10"/>
      <c r="M378" s="13"/>
      <c r="N378" s="13"/>
      <c r="O378" s="13"/>
      <c r="P378" s="11"/>
      <c r="Q378" s="13"/>
      <c r="R378" s="13"/>
      <c r="S378" s="13"/>
      <c r="T378" s="13"/>
      <c r="U378" s="13"/>
      <c r="V378" s="13"/>
      <c r="Y378" s="14"/>
      <c r="Z378" s="15"/>
    </row>
    <row r="379" spans="1:26" x14ac:dyDescent="0.25">
      <c r="A379" s="12"/>
      <c r="B379" s="12"/>
      <c r="C379" s="10"/>
      <c r="D379" s="10"/>
      <c r="E379" s="10"/>
      <c r="F379" s="10"/>
      <c r="G379" s="10"/>
      <c r="M379" s="13"/>
      <c r="N379" s="13"/>
      <c r="O379" s="13"/>
      <c r="P379" s="11"/>
      <c r="Q379" s="13"/>
      <c r="R379" s="13"/>
      <c r="S379" s="13"/>
      <c r="T379" s="13"/>
      <c r="U379" s="13"/>
      <c r="V379" s="13"/>
      <c r="Y379" s="14"/>
      <c r="Z379" s="15"/>
    </row>
    <row r="380" spans="1:26" x14ac:dyDescent="0.25">
      <c r="A380" s="12"/>
      <c r="B380" s="12"/>
      <c r="C380" s="10"/>
      <c r="D380" s="10"/>
      <c r="E380" s="10"/>
      <c r="F380" s="10"/>
      <c r="G380" s="10"/>
      <c r="M380" s="13"/>
      <c r="N380" s="13"/>
      <c r="O380" s="13"/>
      <c r="P380" s="11"/>
      <c r="Q380" s="13"/>
      <c r="R380" s="13"/>
      <c r="S380" s="13"/>
      <c r="T380" s="13"/>
      <c r="U380" s="13"/>
      <c r="V380" s="13"/>
      <c r="Y380" s="14"/>
      <c r="Z380" s="15"/>
    </row>
    <row r="381" spans="1:26" x14ac:dyDescent="0.25">
      <c r="A381" s="12"/>
      <c r="B381" s="12"/>
      <c r="C381" s="10"/>
      <c r="D381" s="10"/>
      <c r="E381" s="10"/>
      <c r="F381" s="10"/>
      <c r="G381" s="10"/>
      <c r="M381" s="13"/>
      <c r="N381" s="13"/>
      <c r="O381" s="13"/>
      <c r="P381" s="11"/>
      <c r="Q381" s="13"/>
      <c r="R381" s="13"/>
      <c r="S381" s="13"/>
      <c r="T381" s="13"/>
      <c r="U381" s="13"/>
      <c r="V381" s="13"/>
      <c r="Y381" s="14"/>
      <c r="Z381" s="15"/>
    </row>
    <row r="382" spans="1:26" x14ac:dyDescent="0.25">
      <c r="A382" s="12"/>
      <c r="B382" s="12"/>
      <c r="C382" s="10"/>
      <c r="D382" s="10"/>
      <c r="E382" s="10"/>
      <c r="F382" s="10"/>
      <c r="G382" s="10"/>
      <c r="M382" s="13"/>
      <c r="N382" s="13"/>
      <c r="O382" s="13"/>
      <c r="P382" s="11"/>
      <c r="Q382" s="13"/>
      <c r="R382" s="13"/>
      <c r="S382" s="13"/>
      <c r="T382" s="13"/>
      <c r="U382" s="13"/>
      <c r="V382" s="13"/>
      <c r="Y382" s="14"/>
      <c r="Z382" s="15"/>
    </row>
    <row r="383" spans="1:26" x14ac:dyDescent="0.25">
      <c r="A383" s="12"/>
      <c r="B383" s="12"/>
      <c r="C383" s="10"/>
      <c r="D383" s="10"/>
      <c r="E383" s="10"/>
      <c r="F383" s="10"/>
      <c r="G383" s="10"/>
      <c r="M383" s="13"/>
      <c r="N383" s="13"/>
      <c r="O383" s="13"/>
      <c r="P383" s="11"/>
      <c r="Q383" s="13"/>
      <c r="R383" s="13"/>
      <c r="S383" s="13"/>
      <c r="T383" s="13"/>
      <c r="U383" s="13"/>
      <c r="V383" s="13"/>
      <c r="Y383" s="14"/>
      <c r="Z383" s="15"/>
    </row>
    <row r="384" spans="1:26" x14ac:dyDescent="0.25">
      <c r="A384" s="12"/>
      <c r="B384" s="12"/>
      <c r="C384" s="10"/>
      <c r="D384" s="10"/>
      <c r="E384" s="10"/>
      <c r="F384" s="10"/>
      <c r="G384" s="10"/>
      <c r="M384" s="13"/>
      <c r="N384" s="13"/>
      <c r="O384" s="13"/>
      <c r="P384" s="11"/>
      <c r="Q384" s="13"/>
      <c r="R384" s="13"/>
      <c r="S384" s="13"/>
      <c r="T384" s="13"/>
      <c r="U384" s="13"/>
      <c r="V384" s="13"/>
      <c r="Y384" s="14"/>
      <c r="Z384" s="15"/>
    </row>
    <row r="385" spans="1:26" x14ac:dyDescent="0.25">
      <c r="A385" s="12"/>
      <c r="B385" s="12"/>
      <c r="C385" s="10"/>
      <c r="D385" s="10"/>
      <c r="E385" s="10"/>
      <c r="F385" s="10"/>
      <c r="G385" s="10"/>
      <c r="M385" s="13"/>
      <c r="N385" s="13"/>
      <c r="O385" s="13"/>
      <c r="P385" s="11"/>
      <c r="Q385" s="13"/>
      <c r="R385" s="13"/>
      <c r="S385" s="13"/>
      <c r="T385" s="13"/>
      <c r="U385" s="13"/>
      <c r="V385" s="13"/>
      <c r="Y385" s="14"/>
      <c r="Z385" s="15"/>
    </row>
    <row r="386" spans="1:26" x14ac:dyDescent="0.25">
      <c r="A386" s="12"/>
      <c r="B386" s="12"/>
      <c r="C386" s="10"/>
      <c r="D386" s="10"/>
      <c r="E386" s="10"/>
      <c r="F386" s="10"/>
      <c r="G386" s="10"/>
      <c r="M386" s="13"/>
      <c r="N386" s="13"/>
      <c r="O386" s="13"/>
      <c r="P386" s="11"/>
      <c r="Q386" s="13"/>
      <c r="R386" s="13"/>
      <c r="S386" s="13"/>
      <c r="T386" s="13"/>
      <c r="U386" s="13"/>
      <c r="V386" s="13"/>
      <c r="Y386" s="14"/>
      <c r="Z386" s="15"/>
    </row>
    <row r="387" spans="1:26" x14ac:dyDescent="0.25">
      <c r="A387" s="12"/>
      <c r="B387" s="12"/>
      <c r="C387" s="10"/>
      <c r="D387" s="10"/>
      <c r="E387" s="10"/>
      <c r="F387" s="10"/>
      <c r="G387" s="10"/>
      <c r="M387" s="13"/>
      <c r="N387" s="13"/>
      <c r="O387" s="13"/>
      <c r="P387" s="11"/>
      <c r="Q387" s="13"/>
      <c r="R387" s="13"/>
      <c r="S387" s="13"/>
      <c r="T387" s="13"/>
      <c r="U387" s="13"/>
      <c r="V387" s="13"/>
      <c r="Y387" s="14"/>
      <c r="Z387" s="15"/>
    </row>
    <row r="388" spans="1:26" x14ac:dyDescent="0.25">
      <c r="A388" s="12"/>
      <c r="B388" s="12"/>
      <c r="C388" s="10"/>
      <c r="D388" s="10"/>
      <c r="E388" s="10"/>
      <c r="F388" s="10"/>
      <c r="G388" s="10"/>
      <c r="M388" s="13"/>
      <c r="N388" s="13"/>
      <c r="O388" s="13"/>
      <c r="P388" s="11"/>
      <c r="Q388" s="13"/>
      <c r="R388" s="13"/>
      <c r="S388" s="13"/>
      <c r="T388" s="13"/>
      <c r="U388" s="13"/>
      <c r="V388" s="13"/>
      <c r="Y388" s="14"/>
      <c r="Z388" s="15"/>
    </row>
    <row r="389" spans="1:26" x14ac:dyDescent="0.25">
      <c r="A389" s="12"/>
      <c r="B389" s="12"/>
      <c r="C389" s="10"/>
      <c r="D389" s="10"/>
      <c r="E389" s="10"/>
      <c r="F389" s="10"/>
      <c r="G389" s="10"/>
      <c r="M389" s="13"/>
      <c r="N389" s="13"/>
      <c r="O389" s="13"/>
      <c r="P389" s="11"/>
      <c r="Q389" s="13"/>
      <c r="R389" s="13"/>
      <c r="S389" s="13"/>
      <c r="T389" s="13"/>
      <c r="U389" s="13"/>
      <c r="V389" s="13"/>
      <c r="Y389" s="14"/>
      <c r="Z389" s="15"/>
    </row>
    <row r="390" spans="1:26" x14ac:dyDescent="0.25">
      <c r="A390" s="12"/>
      <c r="B390" s="12"/>
      <c r="C390" s="10"/>
      <c r="D390" s="10"/>
      <c r="E390" s="10"/>
      <c r="F390" s="10"/>
      <c r="G390" s="10"/>
      <c r="M390" s="13"/>
      <c r="N390" s="13"/>
      <c r="O390" s="13"/>
      <c r="P390" s="11"/>
      <c r="Q390" s="13"/>
      <c r="R390" s="13"/>
      <c r="S390" s="13"/>
      <c r="T390" s="13"/>
      <c r="U390" s="13"/>
      <c r="V390" s="13"/>
      <c r="Y390" s="14"/>
      <c r="Z390" s="15"/>
    </row>
    <row r="391" spans="1:26" x14ac:dyDescent="0.25">
      <c r="A391" s="12"/>
      <c r="B391" s="12"/>
      <c r="C391" s="10"/>
      <c r="D391" s="10"/>
      <c r="E391" s="10"/>
      <c r="F391" s="10"/>
      <c r="G391" s="10"/>
      <c r="M391" s="13"/>
      <c r="N391" s="13"/>
      <c r="O391" s="13"/>
      <c r="P391" s="11"/>
      <c r="Q391" s="13"/>
      <c r="R391" s="13"/>
      <c r="S391" s="13"/>
      <c r="T391" s="13"/>
      <c r="U391" s="13"/>
      <c r="V391" s="13"/>
      <c r="Y391" s="14"/>
      <c r="Z391" s="15"/>
    </row>
    <row r="392" spans="1:26" x14ac:dyDescent="0.25">
      <c r="A392" s="12"/>
      <c r="B392" s="12"/>
      <c r="C392" s="10"/>
      <c r="D392" s="10"/>
      <c r="E392" s="10"/>
      <c r="F392" s="10"/>
      <c r="G392" s="10"/>
      <c r="M392" s="13"/>
      <c r="N392" s="13"/>
      <c r="O392" s="13"/>
      <c r="P392" s="11"/>
      <c r="Q392" s="13"/>
      <c r="R392" s="13"/>
      <c r="S392" s="13"/>
      <c r="T392" s="13"/>
      <c r="U392" s="13"/>
      <c r="V392" s="13"/>
      <c r="Y392" s="14"/>
      <c r="Z392" s="15"/>
    </row>
    <row r="393" spans="1:26" x14ac:dyDescent="0.25">
      <c r="A393" s="12"/>
      <c r="B393" s="12"/>
      <c r="C393" s="10"/>
      <c r="D393" s="10"/>
      <c r="E393" s="10"/>
      <c r="F393" s="10"/>
      <c r="G393" s="10"/>
      <c r="M393" s="13"/>
      <c r="N393" s="13"/>
      <c r="O393" s="13"/>
      <c r="P393" s="11"/>
      <c r="Q393" s="13"/>
      <c r="R393" s="13"/>
      <c r="S393" s="13"/>
      <c r="T393" s="13"/>
      <c r="U393" s="13"/>
      <c r="V393" s="13"/>
      <c r="Y393" s="14"/>
      <c r="Z393" s="15"/>
    </row>
    <row r="394" spans="1:26" x14ac:dyDescent="0.25">
      <c r="A394" s="12"/>
      <c r="B394" s="12"/>
      <c r="C394" s="10"/>
      <c r="D394" s="10"/>
      <c r="E394" s="10"/>
      <c r="F394" s="10"/>
      <c r="G394" s="10"/>
      <c r="M394" s="13"/>
      <c r="N394" s="13"/>
      <c r="O394" s="13"/>
      <c r="P394" s="11"/>
      <c r="Q394" s="13"/>
      <c r="R394" s="13"/>
      <c r="S394" s="13"/>
      <c r="T394" s="13"/>
      <c r="U394" s="13"/>
      <c r="V394" s="13"/>
      <c r="Y394" s="14"/>
      <c r="Z394" s="15"/>
    </row>
    <row r="395" spans="1:26" x14ac:dyDescent="0.25">
      <c r="A395" s="12"/>
      <c r="B395" s="12"/>
      <c r="C395" s="10"/>
      <c r="D395" s="10"/>
      <c r="E395" s="10"/>
      <c r="F395" s="10"/>
      <c r="G395" s="10"/>
      <c r="M395" s="13"/>
      <c r="N395" s="13"/>
      <c r="O395" s="13"/>
      <c r="P395" s="11"/>
      <c r="Q395" s="13"/>
      <c r="R395" s="13"/>
      <c r="S395" s="13"/>
      <c r="T395" s="13"/>
      <c r="U395" s="13"/>
      <c r="V395" s="13"/>
      <c r="Y395" s="14"/>
      <c r="Z395" s="15"/>
    </row>
    <row r="396" spans="1:26" x14ac:dyDescent="0.25">
      <c r="A396" s="12"/>
      <c r="B396" s="12"/>
      <c r="C396" s="10"/>
      <c r="D396" s="10"/>
      <c r="E396" s="10"/>
      <c r="F396" s="10"/>
      <c r="G396" s="10"/>
      <c r="M396" s="13"/>
      <c r="N396" s="13"/>
      <c r="O396" s="13"/>
      <c r="P396" s="11"/>
      <c r="Q396" s="13"/>
      <c r="R396" s="13"/>
      <c r="S396" s="13"/>
      <c r="T396" s="13"/>
      <c r="U396" s="13"/>
      <c r="V396" s="13"/>
      <c r="Y396" s="14"/>
      <c r="Z396" s="15"/>
    </row>
    <row r="397" spans="1:26" x14ac:dyDescent="0.25">
      <c r="A397" s="12"/>
      <c r="B397" s="12"/>
      <c r="C397" s="10"/>
      <c r="D397" s="10"/>
      <c r="E397" s="10"/>
      <c r="F397" s="10"/>
      <c r="G397" s="10"/>
      <c r="M397" s="13"/>
      <c r="N397" s="13"/>
      <c r="O397" s="13"/>
      <c r="P397" s="11"/>
      <c r="Q397" s="13"/>
      <c r="R397" s="13"/>
      <c r="S397" s="13"/>
      <c r="T397" s="13"/>
      <c r="U397" s="13"/>
      <c r="V397" s="13"/>
      <c r="Y397" s="14"/>
      <c r="Z397" s="15"/>
    </row>
    <row r="398" spans="1:26" x14ac:dyDescent="0.25">
      <c r="A398" s="12"/>
      <c r="B398" s="12"/>
      <c r="C398" s="10"/>
      <c r="D398" s="10"/>
      <c r="E398" s="10"/>
      <c r="F398" s="10"/>
      <c r="G398" s="10"/>
      <c r="M398" s="13"/>
      <c r="N398" s="13"/>
      <c r="O398" s="13"/>
      <c r="P398" s="11"/>
      <c r="Q398" s="13"/>
      <c r="R398" s="13"/>
      <c r="S398" s="13"/>
      <c r="T398" s="13"/>
      <c r="U398" s="13"/>
      <c r="V398" s="13"/>
      <c r="Y398" s="14"/>
      <c r="Z398" s="15"/>
    </row>
    <row r="399" spans="1:26" x14ac:dyDescent="0.25">
      <c r="A399" s="12"/>
      <c r="B399" s="12"/>
      <c r="C399" s="10"/>
      <c r="D399" s="10"/>
      <c r="E399" s="10"/>
      <c r="F399" s="10"/>
      <c r="G399" s="10"/>
      <c r="M399" s="13"/>
      <c r="N399" s="13"/>
      <c r="O399" s="13"/>
      <c r="P399" s="11"/>
      <c r="Q399" s="13"/>
      <c r="R399" s="13"/>
      <c r="S399" s="13"/>
      <c r="T399" s="13"/>
      <c r="U399" s="13"/>
      <c r="V399" s="13"/>
      <c r="Y399" s="14"/>
      <c r="Z399" s="15"/>
    </row>
    <row r="400" spans="1:26" x14ac:dyDescent="0.25">
      <c r="A400" s="12"/>
      <c r="B400" s="12"/>
      <c r="C400" s="10"/>
      <c r="D400" s="10"/>
      <c r="E400" s="10"/>
      <c r="F400" s="10"/>
      <c r="G400" s="10"/>
      <c r="M400" s="13"/>
      <c r="N400" s="13"/>
      <c r="O400" s="13"/>
      <c r="P400" s="11"/>
      <c r="Q400" s="13"/>
      <c r="R400" s="13"/>
      <c r="S400" s="13"/>
      <c r="T400" s="13"/>
      <c r="U400" s="13"/>
      <c r="V400" s="13"/>
      <c r="Y400" s="14"/>
      <c r="Z400" s="15"/>
    </row>
    <row r="401" spans="1:26" x14ac:dyDescent="0.25">
      <c r="A401" s="12"/>
      <c r="B401" s="12"/>
      <c r="C401" s="10"/>
      <c r="D401" s="10"/>
      <c r="E401" s="10"/>
      <c r="F401" s="10"/>
      <c r="G401" s="10"/>
      <c r="M401" s="13"/>
      <c r="N401" s="13"/>
      <c r="O401" s="13"/>
      <c r="P401" s="11"/>
      <c r="Q401" s="13"/>
      <c r="R401" s="13"/>
      <c r="S401" s="13"/>
      <c r="T401" s="13"/>
      <c r="U401" s="13"/>
      <c r="V401" s="13"/>
      <c r="Y401" s="14"/>
      <c r="Z401" s="15"/>
    </row>
    <row r="402" spans="1:26" x14ac:dyDescent="0.25">
      <c r="A402" s="12"/>
      <c r="B402" s="12"/>
      <c r="C402" s="10"/>
      <c r="D402" s="10"/>
      <c r="E402" s="10"/>
      <c r="F402" s="10"/>
      <c r="G402" s="10"/>
      <c r="M402" s="13"/>
      <c r="N402" s="13"/>
      <c r="O402" s="13"/>
      <c r="P402" s="11"/>
      <c r="Q402" s="13"/>
      <c r="R402" s="13"/>
      <c r="S402" s="13"/>
      <c r="T402" s="13"/>
      <c r="U402" s="13"/>
      <c r="V402" s="13"/>
      <c r="Y402" s="14"/>
      <c r="Z402" s="15"/>
    </row>
    <row r="403" spans="1:26" x14ac:dyDescent="0.25">
      <c r="A403" s="12"/>
      <c r="B403" s="12"/>
      <c r="C403" s="10"/>
      <c r="D403" s="10"/>
      <c r="E403" s="10"/>
      <c r="F403" s="10"/>
      <c r="G403" s="10"/>
      <c r="M403" s="13"/>
      <c r="N403" s="13"/>
      <c r="O403" s="13"/>
      <c r="P403" s="11"/>
      <c r="Q403" s="13"/>
      <c r="R403" s="13"/>
      <c r="S403" s="13"/>
      <c r="T403" s="13"/>
      <c r="U403" s="13"/>
      <c r="V403" s="13"/>
      <c r="Y403" s="14"/>
      <c r="Z403" s="15"/>
    </row>
    <row r="404" spans="1:26" x14ac:dyDescent="0.25">
      <c r="A404" s="12"/>
      <c r="B404" s="12"/>
      <c r="C404" s="10"/>
      <c r="D404" s="10"/>
      <c r="E404" s="10"/>
      <c r="F404" s="10"/>
      <c r="G404" s="10"/>
      <c r="M404" s="13"/>
      <c r="N404" s="13"/>
      <c r="O404" s="13"/>
      <c r="P404" s="11"/>
      <c r="Q404" s="13"/>
      <c r="R404" s="13"/>
      <c r="S404" s="13"/>
      <c r="T404" s="13"/>
      <c r="U404" s="13"/>
      <c r="V404" s="13"/>
      <c r="Y404" s="14"/>
      <c r="Z404" s="15"/>
    </row>
    <row r="405" spans="1:26" x14ac:dyDescent="0.25">
      <c r="A405" s="12"/>
      <c r="B405" s="12"/>
      <c r="C405" s="10"/>
      <c r="D405" s="10"/>
      <c r="E405" s="10"/>
      <c r="F405" s="10"/>
      <c r="G405" s="10"/>
      <c r="M405" s="13"/>
      <c r="N405" s="13"/>
      <c r="O405" s="13"/>
      <c r="P405" s="11"/>
      <c r="Q405" s="13"/>
      <c r="R405" s="13"/>
      <c r="S405" s="13"/>
      <c r="T405" s="13"/>
      <c r="U405" s="13"/>
      <c r="V405" s="13"/>
      <c r="Y405" s="14"/>
      <c r="Z405" s="15"/>
    </row>
    <row r="406" spans="1:26" x14ac:dyDescent="0.25">
      <c r="A406" s="12"/>
      <c r="B406" s="12"/>
      <c r="C406" s="10"/>
      <c r="D406" s="10"/>
      <c r="E406" s="10"/>
      <c r="F406" s="10"/>
      <c r="G406" s="10"/>
      <c r="M406" s="13"/>
      <c r="N406" s="13"/>
      <c r="O406" s="13"/>
      <c r="P406" s="11"/>
      <c r="Q406" s="13"/>
      <c r="R406" s="13"/>
      <c r="S406" s="13"/>
      <c r="T406" s="13"/>
      <c r="U406" s="13"/>
      <c r="V406" s="13"/>
      <c r="Y406" s="14"/>
      <c r="Z406" s="15"/>
    </row>
    <row r="407" spans="1:26" x14ac:dyDescent="0.25">
      <c r="A407" s="12"/>
      <c r="B407" s="12"/>
      <c r="C407" s="10"/>
      <c r="D407" s="10"/>
      <c r="E407" s="10"/>
      <c r="F407" s="10"/>
      <c r="G407" s="10"/>
      <c r="M407" s="13"/>
      <c r="N407" s="13"/>
      <c r="O407" s="13"/>
      <c r="P407" s="11"/>
      <c r="Q407" s="13"/>
      <c r="R407" s="13"/>
      <c r="S407" s="13"/>
      <c r="T407" s="13"/>
      <c r="U407" s="13"/>
      <c r="V407" s="13"/>
      <c r="Y407" s="14"/>
      <c r="Z407" s="15"/>
    </row>
    <row r="408" spans="1:26" x14ac:dyDescent="0.25">
      <c r="A408" s="12"/>
      <c r="B408" s="12"/>
      <c r="C408" s="10"/>
      <c r="D408" s="10"/>
      <c r="E408" s="10"/>
      <c r="F408" s="10"/>
      <c r="G408" s="10"/>
      <c r="M408" s="13"/>
      <c r="N408" s="13"/>
      <c r="O408" s="13"/>
      <c r="P408" s="11"/>
      <c r="Q408" s="13"/>
      <c r="R408" s="13"/>
      <c r="S408" s="13"/>
      <c r="T408" s="13"/>
      <c r="U408" s="13"/>
      <c r="V408" s="13"/>
      <c r="Y408" s="14"/>
      <c r="Z408" s="15"/>
    </row>
    <row r="409" spans="1:26" x14ac:dyDescent="0.25">
      <c r="A409" s="12"/>
      <c r="B409" s="12"/>
      <c r="C409" s="10"/>
      <c r="D409" s="10"/>
      <c r="E409" s="10"/>
      <c r="F409" s="10"/>
      <c r="G409" s="10"/>
      <c r="M409" s="13"/>
      <c r="N409" s="13"/>
      <c r="O409" s="13"/>
      <c r="P409" s="11"/>
      <c r="Q409" s="13"/>
      <c r="R409" s="13"/>
      <c r="S409" s="13"/>
      <c r="T409" s="13"/>
      <c r="U409" s="13"/>
      <c r="V409" s="13"/>
      <c r="Y409" s="14"/>
      <c r="Z409" s="15"/>
    </row>
    <row r="410" spans="1:26" x14ac:dyDescent="0.25">
      <c r="A410" s="12"/>
      <c r="B410" s="12"/>
      <c r="C410" s="10"/>
      <c r="D410" s="10"/>
      <c r="E410" s="10"/>
      <c r="F410" s="10"/>
      <c r="G410" s="10"/>
      <c r="M410" s="13"/>
      <c r="N410" s="13"/>
      <c r="O410" s="13"/>
      <c r="P410" s="11"/>
      <c r="Q410" s="13"/>
      <c r="R410" s="13"/>
      <c r="S410" s="13"/>
      <c r="T410" s="13"/>
      <c r="U410" s="13"/>
      <c r="V410" s="13"/>
      <c r="Y410" s="14"/>
      <c r="Z410" s="15"/>
    </row>
    <row r="411" spans="1:26" x14ac:dyDescent="0.25">
      <c r="A411" s="12"/>
      <c r="B411" s="12"/>
      <c r="C411" s="10"/>
      <c r="D411" s="10"/>
      <c r="E411" s="10"/>
      <c r="F411" s="10"/>
      <c r="G411" s="10"/>
      <c r="M411" s="13"/>
      <c r="N411" s="13"/>
      <c r="O411" s="13"/>
      <c r="P411" s="11"/>
      <c r="Q411" s="13"/>
      <c r="R411" s="13"/>
      <c r="S411" s="13"/>
      <c r="T411" s="13"/>
      <c r="U411" s="13"/>
      <c r="V411" s="13"/>
      <c r="Y411" s="14"/>
      <c r="Z411" s="15"/>
    </row>
    <row r="412" spans="1:26" x14ac:dyDescent="0.25">
      <c r="A412" s="12"/>
      <c r="B412" s="12"/>
      <c r="C412" s="10"/>
      <c r="D412" s="10"/>
      <c r="E412" s="10"/>
      <c r="F412" s="10"/>
      <c r="G412" s="10"/>
      <c r="M412" s="13"/>
      <c r="N412" s="13"/>
      <c r="O412" s="13"/>
      <c r="P412" s="11"/>
      <c r="Q412" s="13"/>
      <c r="R412" s="13"/>
      <c r="S412" s="13"/>
      <c r="T412" s="13"/>
      <c r="U412" s="13"/>
      <c r="V412" s="13"/>
      <c r="Y412" s="14"/>
      <c r="Z412" s="15"/>
    </row>
    <row r="413" spans="1:26" x14ac:dyDescent="0.25">
      <c r="A413" s="12"/>
      <c r="B413" s="12"/>
      <c r="C413" s="10"/>
      <c r="D413" s="10"/>
      <c r="E413" s="10"/>
      <c r="F413" s="10"/>
      <c r="G413" s="10"/>
      <c r="M413" s="13"/>
      <c r="N413" s="13"/>
      <c r="O413" s="13"/>
      <c r="P413" s="11"/>
      <c r="Q413" s="13"/>
      <c r="R413" s="13"/>
      <c r="S413" s="13"/>
      <c r="T413" s="13"/>
      <c r="U413" s="13"/>
      <c r="V413" s="13"/>
      <c r="Y413" s="14"/>
      <c r="Z413" s="15"/>
    </row>
    <row r="414" spans="1:26" x14ac:dyDescent="0.25">
      <c r="A414" s="12"/>
      <c r="B414" s="12"/>
      <c r="C414" s="10"/>
      <c r="D414" s="10"/>
      <c r="E414" s="10"/>
      <c r="F414" s="10"/>
      <c r="G414" s="10"/>
      <c r="M414" s="13"/>
      <c r="N414" s="13"/>
      <c r="O414" s="13"/>
      <c r="P414" s="11"/>
      <c r="Q414" s="13"/>
      <c r="R414" s="13"/>
      <c r="S414" s="13"/>
      <c r="T414" s="13"/>
      <c r="U414" s="13"/>
      <c r="V414" s="13"/>
      <c r="Y414" s="14"/>
      <c r="Z414" s="15"/>
    </row>
    <row r="415" spans="1:26" x14ac:dyDescent="0.25">
      <c r="A415" s="12"/>
      <c r="B415" s="12"/>
      <c r="C415" s="10"/>
      <c r="D415" s="10"/>
      <c r="E415" s="10"/>
      <c r="F415" s="10"/>
      <c r="G415" s="10"/>
      <c r="M415" s="13"/>
      <c r="N415" s="13"/>
      <c r="O415" s="13"/>
      <c r="P415" s="11"/>
      <c r="Q415" s="13"/>
      <c r="R415" s="13"/>
      <c r="S415" s="13"/>
      <c r="T415" s="13"/>
      <c r="U415" s="13"/>
      <c r="V415" s="13"/>
      <c r="Y415" s="14"/>
      <c r="Z415" s="15"/>
    </row>
    <row r="416" spans="1:26" x14ac:dyDescent="0.25">
      <c r="A416" s="12"/>
      <c r="B416" s="12"/>
      <c r="C416" s="10"/>
      <c r="D416" s="10"/>
      <c r="E416" s="10"/>
      <c r="F416" s="10"/>
      <c r="G416" s="10"/>
      <c r="M416" s="13"/>
      <c r="N416" s="13"/>
      <c r="O416" s="13"/>
      <c r="P416" s="11"/>
      <c r="Q416" s="13"/>
      <c r="R416" s="13"/>
      <c r="S416" s="13"/>
      <c r="T416" s="13"/>
      <c r="U416" s="13"/>
      <c r="V416" s="13"/>
      <c r="Y416" s="14"/>
      <c r="Z416" s="15"/>
    </row>
    <row r="417" spans="1:26" x14ac:dyDescent="0.25">
      <c r="A417" s="12"/>
      <c r="B417" s="12"/>
      <c r="C417" s="10"/>
      <c r="D417" s="10"/>
      <c r="E417" s="10"/>
      <c r="F417" s="10"/>
      <c r="G417" s="10"/>
      <c r="M417" s="13"/>
      <c r="N417" s="13"/>
      <c r="O417" s="13"/>
      <c r="P417" s="11"/>
      <c r="Q417" s="13"/>
      <c r="R417" s="13"/>
      <c r="S417" s="13"/>
      <c r="T417" s="13"/>
      <c r="U417" s="13"/>
      <c r="V417" s="13"/>
      <c r="Y417" s="14"/>
      <c r="Z417" s="15"/>
    </row>
    <row r="418" spans="1:26" x14ac:dyDescent="0.25">
      <c r="A418" s="12"/>
      <c r="B418" s="12"/>
      <c r="C418" s="10"/>
      <c r="D418" s="10"/>
      <c r="E418" s="10"/>
      <c r="F418" s="10"/>
      <c r="G418" s="10"/>
      <c r="M418" s="13"/>
      <c r="N418" s="13"/>
      <c r="O418" s="13"/>
      <c r="P418" s="11"/>
      <c r="Q418" s="13"/>
      <c r="R418" s="13"/>
      <c r="S418" s="13"/>
      <c r="T418" s="13"/>
      <c r="U418" s="13"/>
      <c r="V418" s="13"/>
      <c r="Y418" s="14"/>
      <c r="Z418" s="15"/>
    </row>
    <row r="419" spans="1:26" x14ac:dyDescent="0.25">
      <c r="A419" s="12"/>
      <c r="B419" s="12"/>
      <c r="C419" s="10"/>
      <c r="D419" s="10"/>
      <c r="E419" s="10"/>
      <c r="F419" s="10"/>
      <c r="G419" s="10"/>
      <c r="M419" s="13"/>
      <c r="N419" s="13"/>
      <c r="O419" s="13"/>
      <c r="P419" s="11"/>
      <c r="Q419" s="13"/>
      <c r="R419" s="13"/>
      <c r="S419" s="13"/>
      <c r="T419" s="13"/>
      <c r="U419" s="13"/>
      <c r="V419" s="13"/>
      <c r="Y419" s="14"/>
      <c r="Z419" s="15"/>
    </row>
    <row r="420" spans="1:26" x14ac:dyDescent="0.25">
      <c r="A420" s="12"/>
      <c r="B420" s="12"/>
      <c r="C420" s="10"/>
      <c r="D420" s="10"/>
      <c r="E420" s="10"/>
      <c r="F420" s="10"/>
      <c r="G420" s="10"/>
      <c r="M420" s="13"/>
      <c r="N420" s="13"/>
      <c r="O420" s="13"/>
      <c r="P420" s="11"/>
      <c r="Q420" s="13"/>
      <c r="R420" s="13"/>
      <c r="S420" s="13"/>
      <c r="T420" s="13"/>
      <c r="U420" s="13"/>
      <c r="V420" s="13"/>
      <c r="Y420" s="14"/>
      <c r="Z420" s="15"/>
    </row>
    <row r="421" spans="1:26" x14ac:dyDescent="0.25">
      <c r="A421" s="12"/>
      <c r="B421" s="12"/>
      <c r="C421" s="10"/>
      <c r="D421" s="10"/>
      <c r="E421" s="10"/>
      <c r="F421" s="10"/>
      <c r="G421" s="10"/>
      <c r="M421" s="13"/>
      <c r="N421" s="13"/>
      <c r="O421" s="13"/>
      <c r="P421" s="11"/>
      <c r="Q421" s="13"/>
      <c r="R421" s="13"/>
      <c r="S421" s="13"/>
      <c r="T421" s="13"/>
      <c r="U421" s="13"/>
      <c r="V421" s="13"/>
      <c r="Y421" s="14"/>
      <c r="Z421" s="15"/>
    </row>
    <row r="422" spans="1:26" x14ac:dyDescent="0.25">
      <c r="A422" s="12"/>
      <c r="B422" s="12"/>
      <c r="C422" s="10"/>
      <c r="D422" s="10"/>
      <c r="E422" s="10"/>
      <c r="F422" s="10"/>
      <c r="G422" s="10"/>
      <c r="M422" s="13"/>
      <c r="N422" s="13"/>
      <c r="O422" s="13"/>
      <c r="P422" s="11"/>
      <c r="Q422" s="13"/>
      <c r="R422" s="13"/>
      <c r="S422" s="13"/>
      <c r="T422" s="13"/>
      <c r="U422" s="13"/>
      <c r="V422" s="13"/>
      <c r="Y422" s="14"/>
      <c r="Z422" s="15"/>
    </row>
    <row r="423" spans="1:26" x14ac:dyDescent="0.25">
      <c r="A423" s="12"/>
      <c r="B423" s="12"/>
      <c r="C423" s="10"/>
      <c r="D423" s="10"/>
      <c r="E423" s="10"/>
      <c r="F423" s="10"/>
      <c r="G423" s="10"/>
      <c r="M423" s="13"/>
      <c r="N423" s="13"/>
      <c r="O423" s="13"/>
      <c r="P423" s="11"/>
      <c r="Q423" s="13"/>
      <c r="R423" s="13"/>
      <c r="S423" s="13"/>
      <c r="T423" s="13"/>
      <c r="U423" s="13"/>
      <c r="V423" s="13"/>
      <c r="Y423" s="14"/>
      <c r="Z423" s="15"/>
    </row>
    <row r="424" spans="1:26" x14ac:dyDescent="0.25">
      <c r="A424" s="12"/>
      <c r="B424" s="12"/>
      <c r="C424" s="10"/>
      <c r="D424" s="10"/>
      <c r="E424" s="10"/>
      <c r="F424" s="10"/>
      <c r="G424" s="10"/>
      <c r="M424" s="13"/>
      <c r="N424" s="13"/>
      <c r="O424" s="13"/>
      <c r="P424" s="11"/>
      <c r="Q424" s="13"/>
      <c r="R424" s="13"/>
      <c r="S424" s="13"/>
      <c r="T424" s="13"/>
      <c r="U424" s="13"/>
      <c r="V424" s="13"/>
      <c r="Y424" s="14"/>
      <c r="Z424" s="15"/>
    </row>
    <row r="425" spans="1:26" x14ac:dyDescent="0.25">
      <c r="A425" s="12"/>
      <c r="B425" s="12"/>
      <c r="C425" s="10"/>
      <c r="D425" s="10"/>
      <c r="E425" s="10"/>
      <c r="F425" s="10"/>
      <c r="G425" s="10"/>
      <c r="M425" s="13"/>
      <c r="N425" s="13"/>
      <c r="O425" s="13"/>
      <c r="P425" s="11"/>
      <c r="Q425" s="13"/>
      <c r="R425" s="13"/>
      <c r="S425" s="13"/>
      <c r="T425" s="13"/>
      <c r="U425" s="13"/>
      <c r="V425" s="13"/>
      <c r="Y425" s="14"/>
      <c r="Z425" s="15"/>
    </row>
    <row r="426" spans="1:26" x14ac:dyDescent="0.25">
      <c r="A426" s="12"/>
      <c r="B426" s="12"/>
      <c r="C426" s="10"/>
      <c r="D426" s="10"/>
      <c r="E426" s="10"/>
      <c r="F426" s="10"/>
      <c r="G426" s="10"/>
      <c r="M426" s="13"/>
      <c r="N426" s="13"/>
      <c r="O426" s="13"/>
      <c r="P426" s="11"/>
      <c r="Q426" s="13"/>
      <c r="R426" s="13"/>
      <c r="S426" s="13"/>
      <c r="T426" s="13"/>
      <c r="U426" s="13"/>
      <c r="V426" s="13"/>
      <c r="Y426" s="14"/>
      <c r="Z426" s="15"/>
    </row>
    <row r="427" spans="1:26" x14ac:dyDescent="0.25">
      <c r="A427" s="12"/>
      <c r="B427" s="12"/>
      <c r="C427" s="10"/>
      <c r="D427" s="10"/>
      <c r="E427" s="10"/>
      <c r="F427" s="10"/>
      <c r="G427" s="10"/>
      <c r="M427" s="13"/>
      <c r="N427" s="13"/>
      <c r="O427" s="13"/>
      <c r="P427" s="11"/>
      <c r="Q427" s="13"/>
      <c r="R427" s="13"/>
      <c r="S427" s="13"/>
      <c r="T427" s="13"/>
      <c r="U427" s="13"/>
      <c r="V427" s="13"/>
      <c r="Y427" s="14"/>
      <c r="Z427" s="15"/>
    </row>
    <row r="428" spans="1:26" x14ac:dyDescent="0.25">
      <c r="A428" s="12"/>
      <c r="B428" s="12"/>
      <c r="C428" s="10"/>
      <c r="D428" s="10"/>
      <c r="E428" s="10"/>
      <c r="F428" s="10"/>
      <c r="G428" s="10"/>
      <c r="M428" s="13"/>
      <c r="N428" s="13"/>
      <c r="O428" s="13"/>
      <c r="P428" s="11"/>
      <c r="Q428" s="13"/>
      <c r="R428" s="13"/>
      <c r="S428" s="13"/>
      <c r="T428" s="13"/>
      <c r="U428" s="13"/>
      <c r="V428" s="13"/>
      <c r="Y428" s="14"/>
      <c r="Z428" s="15"/>
    </row>
    <row r="429" spans="1:26" x14ac:dyDescent="0.25">
      <c r="A429" s="12"/>
      <c r="B429" s="12"/>
      <c r="C429" s="10"/>
      <c r="D429" s="10"/>
      <c r="E429" s="10"/>
      <c r="F429" s="10"/>
      <c r="G429" s="10"/>
      <c r="M429" s="13"/>
      <c r="N429" s="13"/>
      <c r="O429" s="13"/>
      <c r="P429" s="11"/>
      <c r="Q429" s="13"/>
      <c r="R429" s="13"/>
      <c r="S429" s="13"/>
      <c r="T429" s="13"/>
      <c r="U429" s="13"/>
      <c r="V429" s="13"/>
      <c r="Y429" s="14"/>
      <c r="Z429" s="15"/>
    </row>
    <row r="430" spans="1:26" x14ac:dyDescent="0.25">
      <c r="A430" s="12"/>
      <c r="B430" s="12"/>
      <c r="C430" s="10"/>
      <c r="D430" s="10"/>
      <c r="E430" s="10"/>
      <c r="F430" s="10"/>
      <c r="G430" s="10"/>
      <c r="M430" s="13"/>
      <c r="N430" s="13"/>
      <c r="O430" s="13"/>
      <c r="P430" s="11"/>
      <c r="Q430" s="13"/>
      <c r="R430" s="13"/>
      <c r="S430" s="13"/>
      <c r="T430" s="13"/>
      <c r="U430" s="13"/>
      <c r="V430" s="13"/>
      <c r="Y430" s="14"/>
      <c r="Z430" s="15"/>
    </row>
    <row r="431" spans="1:26" x14ac:dyDescent="0.25">
      <c r="A431" s="12"/>
      <c r="B431" s="12"/>
      <c r="C431" s="10"/>
      <c r="D431" s="10"/>
      <c r="E431" s="10"/>
      <c r="F431" s="10"/>
      <c r="G431" s="10"/>
      <c r="M431" s="13"/>
      <c r="N431" s="13"/>
      <c r="O431" s="13"/>
      <c r="P431" s="11"/>
      <c r="Q431" s="13"/>
      <c r="R431" s="13"/>
      <c r="S431" s="13"/>
      <c r="T431" s="13"/>
      <c r="U431" s="13"/>
      <c r="V431" s="13"/>
      <c r="Y431" s="14"/>
      <c r="Z431" s="15"/>
    </row>
    <row r="432" spans="1:26" x14ac:dyDescent="0.25">
      <c r="A432" s="12"/>
      <c r="B432" s="12"/>
      <c r="C432" s="10"/>
      <c r="D432" s="10"/>
      <c r="E432" s="10"/>
      <c r="F432" s="10"/>
      <c r="G432" s="10"/>
      <c r="M432" s="13"/>
      <c r="N432" s="13"/>
      <c r="O432" s="13"/>
      <c r="P432" s="11"/>
      <c r="Q432" s="13"/>
      <c r="R432" s="13"/>
      <c r="S432" s="13"/>
      <c r="T432" s="13"/>
      <c r="U432" s="13"/>
      <c r="V432" s="13"/>
      <c r="Y432" s="14"/>
      <c r="Z432" s="15"/>
    </row>
    <row r="433" spans="1:26" x14ac:dyDescent="0.25">
      <c r="A433" s="12"/>
      <c r="B433" s="12"/>
      <c r="C433" s="10"/>
      <c r="D433" s="10"/>
      <c r="E433" s="10"/>
      <c r="F433" s="10"/>
      <c r="G433" s="10"/>
      <c r="M433" s="13"/>
      <c r="N433" s="13"/>
      <c r="O433" s="13"/>
      <c r="P433" s="11"/>
      <c r="Q433" s="13"/>
      <c r="R433" s="13"/>
      <c r="S433" s="13"/>
      <c r="T433" s="13"/>
      <c r="U433" s="13"/>
      <c r="V433" s="13"/>
      <c r="Y433" s="14"/>
      <c r="Z433" s="15"/>
    </row>
    <row r="434" spans="1:26" x14ac:dyDescent="0.25">
      <c r="A434" s="12"/>
      <c r="B434" s="12"/>
      <c r="C434" s="10"/>
      <c r="D434" s="10"/>
      <c r="E434" s="10"/>
      <c r="F434" s="10"/>
      <c r="G434" s="10"/>
      <c r="M434" s="13"/>
      <c r="N434" s="13"/>
      <c r="O434" s="13"/>
      <c r="P434" s="11"/>
      <c r="Q434" s="13"/>
      <c r="R434" s="13"/>
      <c r="S434" s="13"/>
      <c r="T434" s="13"/>
      <c r="U434" s="13"/>
      <c r="V434" s="13"/>
      <c r="Y434" s="14"/>
      <c r="Z434" s="15"/>
    </row>
    <row r="435" spans="1:26" x14ac:dyDescent="0.25">
      <c r="A435" s="12"/>
      <c r="B435" s="12"/>
      <c r="C435" s="10"/>
      <c r="D435" s="10"/>
      <c r="E435" s="10"/>
      <c r="F435" s="10"/>
      <c r="G435" s="10"/>
      <c r="M435" s="13"/>
      <c r="N435" s="13"/>
      <c r="O435" s="13"/>
      <c r="P435" s="11"/>
      <c r="Q435" s="13"/>
      <c r="R435" s="13"/>
      <c r="S435" s="13"/>
      <c r="T435" s="13"/>
      <c r="U435" s="13"/>
      <c r="V435" s="13"/>
      <c r="Y435" s="14"/>
      <c r="Z435" s="15"/>
    </row>
    <row r="436" spans="1:26" x14ac:dyDescent="0.25">
      <c r="A436" s="12"/>
      <c r="B436" s="12"/>
      <c r="C436" s="10"/>
      <c r="D436" s="10"/>
      <c r="E436" s="10"/>
      <c r="F436" s="10"/>
      <c r="G436" s="10"/>
      <c r="M436" s="13"/>
      <c r="N436" s="13"/>
      <c r="O436" s="13"/>
      <c r="P436" s="11"/>
      <c r="Q436" s="13"/>
      <c r="R436" s="13"/>
      <c r="S436" s="13"/>
      <c r="T436" s="13"/>
      <c r="U436" s="13"/>
      <c r="V436" s="13"/>
      <c r="Y436" s="14"/>
      <c r="Z436" s="15"/>
    </row>
    <row r="437" spans="1:26" x14ac:dyDescent="0.25">
      <c r="A437" s="12"/>
      <c r="B437" s="12"/>
      <c r="C437" s="10"/>
      <c r="D437" s="10"/>
      <c r="E437" s="10"/>
      <c r="F437" s="10"/>
      <c r="G437" s="10"/>
      <c r="M437" s="13"/>
      <c r="N437" s="13"/>
      <c r="O437" s="13"/>
      <c r="P437" s="11"/>
      <c r="Q437" s="13"/>
      <c r="R437" s="13"/>
      <c r="S437" s="13"/>
      <c r="T437" s="13"/>
      <c r="U437" s="13"/>
      <c r="V437" s="13"/>
      <c r="Y437" s="14"/>
      <c r="Z437" s="15"/>
    </row>
    <row r="438" spans="1:26" x14ac:dyDescent="0.25">
      <c r="A438" s="12"/>
      <c r="B438" s="12"/>
      <c r="C438" s="10"/>
      <c r="D438" s="10"/>
      <c r="E438" s="10"/>
      <c r="F438" s="10"/>
      <c r="G438" s="10"/>
      <c r="M438" s="13"/>
      <c r="N438" s="13"/>
      <c r="O438" s="13"/>
      <c r="P438" s="11"/>
      <c r="Q438" s="13"/>
      <c r="R438" s="13"/>
      <c r="S438" s="13"/>
      <c r="T438" s="13"/>
      <c r="U438" s="13"/>
      <c r="V438" s="13"/>
      <c r="Y438" s="14"/>
      <c r="Z438" s="15"/>
    </row>
    <row r="439" spans="1:26" x14ac:dyDescent="0.25">
      <c r="A439" s="12"/>
      <c r="B439" s="12"/>
      <c r="C439" s="10"/>
      <c r="D439" s="10"/>
      <c r="E439" s="10"/>
      <c r="F439" s="10"/>
      <c r="G439" s="10"/>
      <c r="M439" s="13"/>
      <c r="N439" s="13"/>
      <c r="O439" s="13"/>
      <c r="P439" s="11"/>
      <c r="Q439" s="13"/>
      <c r="R439" s="13"/>
      <c r="S439" s="13"/>
      <c r="T439" s="13"/>
      <c r="U439" s="13"/>
      <c r="V439" s="13"/>
      <c r="Y439" s="14"/>
      <c r="Z439" s="15"/>
    </row>
    <row r="440" spans="1:26" x14ac:dyDescent="0.25">
      <c r="A440" s="12"/>
      <c r="B440" s="12"/>
      <c r="C440" s="10"/>
      <c r="D440" s="10"/>
      <c r="E440" s="10"/>
      <c r="F440" s="10"/>
      <c r="G440" s="10"/>
      <c r="M440" s="13"/>
      <c r="N440" s="13"/>
      <c r="O440" s="13"/>
      <c r="P440" s="11"/>
      <c r="Q440" s="13"/>
      <c r="R440" s="13"/>
      <c r="S440" s="13"/>
      <c r="T440" s="13"/>
      <c r="U440" s="13"/>
      <c r="V440" s="13"/>
      <c r="Y440" s="14"/>
      <c r="Z440" s="15"/>
    </row>
    <row r="441" spans="1:26" x14ac:dyDescent="0.25">
      <c r="A441" s="12"/>
      <c r="B441" s="12"/>
      <c r="C441" s="10"/>
      <c r="D441" s="10"/>
      <c r="E441" s="10"/>
      <c r="F441" s="10"/>
      <c r="G441" s="10"/>
      <c r="M441" s="13"/>
      <c r="N441" s="13"/>
      <c r="O441" s="13"/>
      <c r="P441" s="11"/>
      <c r="Q441" s="13"/>
      <c r="R441" s="13"/>
      <c r="S441" s="13"/>
      <c r="T441" s="13"/>
      <c r="U441" s="13"/>
      <c r="V441" s="13"/>
      <c r="Y441" s="14"/>
      <c r="Z441" s="15"/>
    </row>
    <row r="442" spans="1:26" x14ac:dyDescent="0.25">
      <c r="A442" s="12"/>
      <c r="B442" s="12"/>
      <c r="C442" s="10"/>
      <c r="D442" s="10"/>
      <c r="E442" s="10"/>
      <c r="F442" s="10"/>
      <c r="G442" s="10"/>
      <c r="M442" s="13"/>
      <c r="N442" s="13"/>
      <c r="O442" s="13"/>
      <c r="P442" s="11"/>
      <c r="Q442" s="13"/>
      <c r="R442" s="13"/>
      <c r="S442" s="13"/>
      <c r="T442" s="13"/>
      <c r="U442" s="13"/>
      <c r="V442" s="13"/>
      <c r="Y442" s="14"/>
      <c r="Z442" s="15"/>
    </row>
    <row r="443" spans="1:26" x14ac:dyDescent="0.25">
      <c r="A443" s="12"/>
      <c r="B443" s="12"/>
      <c r="C443" s="10"/>
      <c r="D443" s="10"/>
      <c r="E443" s="10"/>
      <c r="F443" s="10"/>
      <c r="G443" s="10"/>
      <c r="M443" s="13"/>
      <c r="N443" s="13"/>
      <c r="O443" s="13"/>
      <c r="P443" s="11"/>
      <c r="Q443" s="13"/>
      <c r="R443" s="13"/>
      <c r="S443" s="13"/>
      <c r="T443" s="13"/>
      <c r="U443" s="13"/>
      <c r="V443" s="13"/>
      <c r="Y443" s="14"/>
      <c r="Z443" s="15"/>
    </row>
    <row r="444" spans="1:26" x14ac:dyDescent="0.25">
      <c r="A444" s="12"/>
      <c r="B444" s="12"/>
      <c r="C444" s="10"/>
      <c r="D444" s="10"/>
      <c r="E444" s="10"/>
      <c r="F444" s="10"/>
      <c r="G444" s="10"/>
      <c r="M444" s="13"/>
      <c r="N444" s="13"/>
      <c r="O444" s="13"/>
      <c r="P444" s="11"/>
      <c r="Q444" s="13"/>
      <c r="R444" s="13"/>
      <c r="S444" s="13"/>
      <c r="T444" s="13"/>
      <c r="U444" s="13"/>
      <c r="V444" s="13"/>
      <c r="Y444" s="14"/>
      <c r="Z444" s="15"/>
    </row>
    <row r="445" spans="1:26" x14ac:dyDescent="0.25">
      <c r="A445" s="12"/>
      <c r="B445" s="12"/>
      <c r="C445" s="10"/>
      <c r="D445" s="10"/>
      <c r="E445" s="10"/>
      <c r="F445" s="10"/>
      <c r="G445" s="10"/>
      <c r="M445" s="13"/>
      <c r="N445" s="13"/>
      <c r="O445" s="13"/>
      <c r="P445" s="11"/>
      <c r="Q445" s="13"/>
      <c r="R445" s="13"/>
      <c r="S445" s="13"/>
      <c r="T445" s="13"/>
      <c r="U445" s="13"/>
      <c r="V445" s="13"/>
      <c r="Y445" s="14"/>
      <c r="Z445" s="15"/>
    </row>
    <row r="446" spans="1:26" x14ac:dyDescent="0.25">
      <c r="A446" s="12"/>
      <c r="B446" s="12"/>
      <c r="C446" s="10"/>
      <c r="D446" s="10"/>
      <c r="E446" s="10"/>
      <c r="F446" s="10"/>
      <c r="G446" s="10"/>
      <c r="M446" s="13"/>
      <c r="N446" s="13"/>
      <c r="O446" s="13"/>
      <c r="P446" s="11"/>
      <c r="Q446" s="13"/>
      <c r="R446" s="13"/>
      <c r="S446" s="13"/>
      <c r="T446" s="13"/>
      <c r="U446" s="13"/>
      <c r="V446" s="13"/>
      <c r="Y446" s="14"/>
      <c r="Z446" s="15"/>
    </row>
    <row r="447" spans="1:26" x14ac:dyDescent="0.25">
      <c r="A447" s="12"/>
      <c r="B447" s="12"/>
      <c r="C447" s="10"/>
      <c r="D447" s="10"/>
      <c r="E447" s="10"/>
      <c r="F447" s="10"/>
      <c r="G447" s="10"/>
      <c r="M447" s="13"/>
      <c r="N447" s="13"/>
      <c r="O447" s="13"/>
      <c r="P447" s="11"/>
      <c r="Q447" s="13"/>
      <c r="R447" s="13"/>
      <c r="S447" s="13"/>
      <c r="T447" s="13"/>
      <c r="U447" s="13"/>
      <c r="V447" s="13"/>
      <c r="Y447" s="14"/>
      <c r="Z447" s="15"/>
    </row>
    <row r="448" spans="1:26" x14ac:dyDescent="0.25">
      <c r="A448" s="12"/>
      <c r="B448" s="12"/>
      <c r="C448" s="10"/>
      <c r="D448" s="10"/>
      <c r="E448" s="10"/>
      <c r="F448" s="10"/>
      <c r="G448" s="10"/>
      <c r="M448" s="13"/>
      <c r="N448" s="13"/>
      <c r="O448" s="13"/>
      <c r="P448" s="11"/>
      <c r="Q448" s="13"/>
      <c r="R448" s="13"/>
      <c r="S448" s="13"/>
      <c r="T448" s="13"/>
      <c r="U448" s="13"/>
      <c r="V448" s="13"/>
      <c r="Y448" s="14"/>
      <c r="Z448" s="15"/>
    </row>
    <row r="449" spans="1:26" x14ac:dyDescent="0.25">
      <c r="A449" s="12"/>
      <c r="B449" s="12"/>
      <c r="C449" s="10"/>
      <c r="D449" s="10"/>
      <c r="E449" s="10"/>
      <c r="F449" s="10"/>
      <c r="G449" s="10"/>
      <c r="M449" s="13"/>
      <c r="N449" s="13"/>
      <c r="O449" s="13"/>
      <c r="P449" s="11"/>
      <c r="Q449" s="13"/>
      <c r="R449" s="13"/>
      <c r="S449" s="13"/>
      <c r="T449" s="13"/>
      <c r="U449" s="13"/>
      <c r="V449" s="13"/>
      <c r="Y449" s="14"/>
      <c r="Z449" s="15"/>
    </row>
    <row r="450" spans="1:26" x14ac:dyDescent="0.25">
      <c r="A450" s="12"/>
      <c r="B450" s="12"/>
      <c r="C450" s="10"/>
      <c r="D450" s="10"/>
      <c r="E450" s="10"/>
      <c r="F450" s="10"/>
      <c r="G450" s="10"/>
      <c r="M450" s="13"/>
      <c r="N450" s="13"/>
      <c r="O450" s="13"/>
      <c r="P450" s="11"/>
      <c r="Q450" s="13"/>
      <c r="R450" s="13"/>
      <c r="S450" s="13"/>
      <c r="T450" s="13"/>
      <c r="U450" s="13"/>
      <c r="V450" s="13"/>
      <c r="Y450" s="14"/>
      <c r="Z450" s="15"/>
    </row>
    <row r="451" spans="1:26" x14ac:dyDescent="0.25">
      <c r="A451" s="12"/>
      <c r="B451" s="12"/>
      <c r="C451" s="10"/>
      <c r="D451" s="10"/>
      <c r="E451" s="10"/>
      <c r="F451" s="10"/>
      <c r="G451" s="10"/>
      <c r="M451" s="13"/>
      <c r="N451" s="13"/>
      <c r="O451" s="13"/>
      <c r="P451" s="11"/>
      <c r="Q451" s="13"/>
      <c r="R451" s="13"/>
      <c r="S451" s="13"/>
      <c r="T451" s="13"/>
      <c r="U451" s="13"/>
      <c r="V451" s="13"/>
      <c r="Y451" s="14"/>
      <c r="Z451" s="15"/>
    </row>
    <row r="452" spans="1:26" x14ac:dyDescent="0.25">
      <c r="A452" s="12"/>
      <c r="B452" s="12"/>
      <c r="C452" s="10"/>
      <c r="D452" s="10"/>
      <c r="E452" s="10"/>
      <c r="F452" s="10"/>
      <c r="G452" s="10"/>
      <c r="M452" s="13"/>
      <c r="N452" s="13"/>
      <c r="O452" s="13"/>
      <c r="P452" s="11"/>
      <c r="Q452" s="13"/>
      <c r="R452" s="13"/>
      <c r="S452" s="13"/>
      <c r="T452" s="13"/>
      <c r="U452" s="13"/>
      <c r="V452" s="13"/>
      <c r="Y452" s="14"/>
      <c r="Z452" s="15"/>
    </row>
    <row r="453" spans="1:26" x14ac:dyDescent="0.25">
      <c r="A453" s="12"/>
      <c r="B453" s="12"/>
      <c r="C453" s="10"/>
      <c r="D453" s="10"/>
      <c r="E453" s="10"/>
      <c r="F453" s="10"/>
      <c r="G453" s="10"/>
      <c r="M453" s="13"/>
      <c r="N453" s="13"/>
      <c r="O453" s="13"/>
      <c r="P453" s="11"/>
      <c r="Q453" s="13"/>
      <c r="R453" s="13"/>
      <c r="S453" s="13"/>
      <c r="T453" s="13"/>
      <c r="U453" s="13"/>
      <c r="V453" s="13"/>
      <c r="Y453" s="14"/>
      <c r="Z453" s="15"/>
    </row>
    <row r="454" spans="1:26" x14ac:dyDescent="0.25">
      <c r="A454" s="12"/>
      <c r="B454" s="12"/>
      <c r="C454" s="10"/>
      <c r="D454" s="10"/>
      <c r="E454" s="10"/>
      <c r="F454" s="10"/>
      <c r="G454" s="10"/>
      <c r="M454" s="13"/>
      <c r="N454" s="13"/>
      <c r="O454" s="13"/>
      <c r="P454" s="11"/>
      <c r="Q454" s="13"/>
      <c r="R454" s="13"/>
      <c r="S454" s="13"/>
      <c r="T454" s="13"/>
      <c r="U454" s="13"/>
      <c r="V454" s="13"/>
      <c r="Y454" s="14"/>
      <c r="Z454" s="15"/>
    </row>
    <row r="455" spans="1:26" x14ac:dyDescent="0.25">
      <c r="A455" s="12"/>
      <c r="B455" s="12"/>
      <c r="C455" s="10"/>
      <c r="D455" s="10"/>
      <c r="E455" s="10"/>
      <c r="F455" s="10"/>
      <c r="G455" s="10"/>
      <c r="M455" s="13"/>
      <c r="N455" s="13"/>
      <c r="O455" s="13"/>
      <c r="P455" s="11"/>
      <c r="Q455" s="13"/>
      <c r="R455" s="13"/>
      <c r="S455" s="13"/>
      <c r="T455" s="13"/>
      <c r="U455" s="13"/>
      <c r="V455" s="13"/>
      <c r="Y455" s="14"/>
      <c r="Z455" s="15"/>
    </row>
    <row r="456" spans="1:26" x14ac:dyDescent="0.25">
      <c r="A456" s="12"/>
      <c r="B456" s="12"/>
      <c r="C456" s="10"/>
      <c r="D456" s="10"/>
      <c r="E456" s="10"/>
      <c r="F456" s="10"/>
      <c r="G456" s="10"/>
      <c r="M456" s="13"/>
      <c r="N456" s="13"/>
      <c r="O456" s="13"/>
      <c r="P456" s="11"/>
      <c r="Q456" s="13"/>
      <c r="R456" s="13"/>
      <c r="S456" s="13"/>
      <c r="T456" s="13"/>
      <c r="U456" s="13"/>
      <c r="V456" s="13"/>
      <c r="Y456" s="14"/>
      <c r="Z456" s="15"/>
    </row>
    <row r="457" spans="1:26" x14ac:dyDescent="0.25">
      <c r="A457" s="12"/>
      <c r="B457" s="12"/>
      <c r="C457" s="10"/>
      <c r="D457" s="10"/>
      <c r="E457" s="10"/>
      <c r="F457" s="10"/>
      <c r="G457" s="10"/>
      <c r="M457" s="13"/>
      <c r="N457" s="13"/>
      <c r="O457" s="13"/>
      <c r="P457" s="11"/>
      <c r="Q457" s="13"/>
      <c r="R457" s="13"/>
      <c r="S457" s="13"/>
      <c r="T457" s="13"/>
      <c r="U457" s="13"/>
      <c r="V457" s="13"/>
      <c r="Y457" s="14"/>
      <c r="Z457" s="15"/>
    </row>
    <row r="458" spans="1:26" x14ac:dyDescent="0.25">
      <c r="A458" s="12"/>
      <c r="B458" s="12"/>
      <c r="C458" s="10"/>
      <c r="D458" s="10"/>
      <c r="E458" s="10"/>
      <c r="F458" s="10"/>
      <c r="G458" s="10"/>
      <c r="M458" s="13"/>
      <c r="N458" s="13"/>
      <c r="O458" s="13"/>
      <c r="P458" s="11"/>
      <c r="Q458" s="13"/>
      <c r="R458" s="13"/>
      <c r="S458" s="13"/>
      <c r="T458" s="13"/>
      <c r="U458" s="13"/>
      <c r="V458" s="13"/>
      <c r="Y458" s="14"/>
      <c r="Z458" s="15"/>
    </row>
    <row r="459" spans="1:26" x14ac:dyDescent="0.25">
      <c r="A459" s="12"/>
      <c r="B459" s="12"/>
      <c r="C459" s="10"/>
      <c r="D459" s="10"/>
      <c r="E459" s="10"/>
      <c r="F459" s="10"/>
      <c r="G459" s="10"/>
      <c r="M459" s="13"/>
      <c r="N459" s="13"/>
      <c r="O459" s="13"/>
      <c r="P459" s="11"/>
      <c r="Q459" s="13"/>
      <c r="R459" s="13"/>
      <c r="S459" s="13"/>
      <c r="T459" s="13"/>
      <c r="U459" s="13"/>
      <c r="V459" s="13"/>
      <c r="Y459" s="14"/>
      <c r="Z459" s="15"/>
    </row>
    <row r="460" spans="1:26" x14ac:dyDescent="0.25">
      <c r="A460" s="12"/>
      <c r="B460" s="12"/>
      <c r="C460" s="10"/>
      <c r="D460" s="10"/>
      <c r="E460" s="10"/>
      <c r="F460" s="10"/>
      <c r="G460" s="10"/>
      <c r="M460" s="13"/>
      <c r="N460" s="13"/>
      <c r="O460" s="13"/>
      <c r="P460" s="11"/>
      <c r="Q460" s="13"/>
      <c r="R460" s="13"/>
      <c r="S460" s="13"/>
      <c r="T460" s="13"/>
      <c r="U460" s="13"/>
      <c r="V460" s="13"/>
      <c r="Y460" s="14"/>
      <c r="Z460" s="15"/>
    </row>
    <row r="461" spans="1:26" x14ac:dyDescent="0.25">
      <c r="A461" s="12"/>
      <c r="B461" s="12"/>
      <c r="C461" s="10"/>
      <c r="D461" s="10"/>
      <c r="E461" s="10"/>
      <c r="F461" s="10"/>
      <c r="G461" s="10"/>
      <c r="M461" s="13"/>
      <c r="N461" s="13"/>
      <c r="O461" s="13"/>
      <c r="P461" s="11"/>
      <c r="Q461" s="13"/>
      <c r="R461" s="13"/>
      <c r="S461" s="13"/>
      <c r="T461" s="13"/>
      <c r="U461" s="13"/>
      <c r="V461" s="13"/>
      <c r="Y461" s="14"/>
      <c r="Z461" s="15"/>
    </row>
    <row r="462" spans="1:26" x14ac:dyDescent="0.25">
      <c r="A462" s="12"/>
      <c r="B462" s="12"/>
      <c r="C462" s="10"/>
      <c r="D462" s="10"/>
      <c r="E462" s="10"/>
      <c r="F462" s="10"/>
      <c r="G462" s="10"/>
      <c r="M462" s="13"/>
      <c r="N462" s="13"/>
      <c r="O462" s="13"/>
      <c r="P462" s="11"/>
      <c r="Q462" s="13"/>
      <c r="R462" s="13"/>
      <c r="S462" s="13"/>
      <c r="T462" s="13"/>
      <c r="U462" s="13"/>
      <c r="V462" s="13"/>
      <c r="Y462" s="14"/>
      <c r="Z462" s="15"/>
    </row>
    <row r="463" spans="1:26" x14ac:dyDescent="0.25">
      <c r="A463" s="12"/>
      <c r="B463" s="12"/>
      <c r="C463" s="10"/>
      <c r="D463" s="10"/>
      <c r="E463" s="10"/>
      <c r="F463" s="10"/>
      <c r="G463" s="10"/>
      <c r="M463" s="13"/>
      <c r="N463" s="13"/>
      <c r="O463" s="13"/>
      <c r="P463" s="11"/>
      <c r="Q463" s="13"/>
      <c r="R463" s="13"/>
      <c r="S463" s="13"/>
      <c r="T463" s="13"/>
      <c r="U463" s="13"/>
      <c r="V463" s="13"/>
      <c r="Y463" s="14"/>
      <c r="Z463" s="15"/>
    </row>
    <row r="464" spans="1:26" x14ac:dyDescent="0.25">
      <c r="A464" s="12"/>
      <c r="B464" s="12"/>
      <c r="C464" s="10"/>
      <c r="D464" s="10"/>
      <c r="E464" s="10"/>
      <c r="F464" s="10"/>
      <c r="G464" s="10"/>
      <c r="M464" s="13"/>
      <c r="N464" s="13"/>
      <c r="O464" s="13"/>
      <c r="P464" s="11"/>
      <c r="Q464" s="13"/>
      <c r="R464" s="13"/>
      <c r="S464" s="13"/>
      <c r="T464" s="13"/>
      <c r="U464" s="13"/>
      <c r="V464" s="13"/>
      <c r="Y464" s="14"/>
      <c r="Z464" s="15"/>
    </row>
    <row r="465" spans="1:26" x14ac:dyDescent="0.25">
      <c r="A465" s="12"/>
      <c r="B465" s="12"/>
      <c r="C465" s="10"/>
      <c r="D465" s="10"/>
      <c r="E465" s="10"/>
      <c r="F465" s="10"/>
      <c r="G465" s="10"/>
      <c r="M465" s="13"/>
      <c r="N465" s="13"/>
      <c r="O465" s="13"/>
      <c r="P465" s="11"/>
      <c r="Q465" s="13"/>
      <c r="R465" s="13"/>
      <c r="S465" s="13"/>
      <c r="T465" s="13"/>
      <c r="U465" s="13"/>
      <c r="V465" s="13"/>
      <c r="Y465" s="14"/>
      <c r="Z465" s="15"/>
    </row>
    <row r="466" spans="1:26" x14ac:dyDescent="0.25">
      <c r="A466" s="12"/>
      <c r="B466" s="12"/>
      <c r="C466" s="10"/>
      <c r="D466" s="10"/>
      <c r="E466" s="10"/>
      <c r="F466" s="10"/>
      <c r="G466" s="10"/>
      <c r="M466" s="13"/>
      <c r="N466" s="13"/>
      <c r="O466" s="13"/>
      <c r="P466" s="11"/>
      <c r="Q466" s="13"/>
      <c r="R466" s="13"/>
      <c r="S466" s="13"/>
      <c r="T466" s="13"/>
      <c r="U466" s="13"/>
      <c r="V466" s="13"/>
      <c r="Y466" s="14"/>
      <c r="Z466" s="15"/>
    </row>
    <row r="467" spans="1:26" x14ac:dyDescent="0.25">
      <c r="A467" s="12"/>
      <c r="B467" s="12"/>
      <c r="C467" s="10"/>
      <c r="D467" s="10"/>
      <c r="E467" s="10"/>
      <c r="F467" s="10"/>
      <c r="G467" s="10"/>
      <c r="M467" s="13"/>
      <c r="N467" s="13"/>
      <c r="O467" s="13"/>
      <c r="P467" s="11"/>
      <c r="Q467" s="13"/>
      <c r="R467" s="13"/>
      <c r="S467" s="13"/>
      <c r="T467" s="13"/>
      <c r="U467" s="13"/>
      <c r="V467" s="13"/>
      <c r="Y467" s="14"/>
      <c r="Z467" s="15"/>
    </row>
    <row r="468" spans="1:26" x14ac:dyDescent="0.25">
      <c r="A468" s="12"/>
      <c r="B468" s="12"/>
      <c r="C468" s="10"/>
      <c r="D468" s="10"/>
      <c r="E468" s="10"/>
      <c r="F468" s="10"/>
      <c r="G468" s="10"/>
      <c r="M468" s="13"/>
      <c r="N468" s="13"/>
      <c r="O468" s="13"/>
      <c r="P468" s="11"/>
      <c r="Q468" s="13"/>
      <c r="R468" s="13"/>
      <c r="S468" s="13"/>
      <c r="T468" s="13"/>
      <c r="U468" s="13"/>
      <c r="V468" s="13"/>
      <c r="Y468" s="14"/>
      <c r="Z468" s="15"/>
    </row>
    <row r="469" spans="1:26" x14ac:dyDescent="0.25">
      <c r="A469" s="12"/>
      <c r="B469" s="12"/>
      <c r="C469" s="10"/>
      <c r="D469" s="10"/>
      <c r="E469" s="10"/>
      <c r="F469" s="10"/>
      <c r="G469" s="10"/>
      <c r="M469" s="13"/>
      <c r="N469" s="13"/>
      <c r="O469" s="13"/>
      <c r="P469" s="11"/>
      <c r="Q469" s="13"/>
      <c r="R469" s="13"/>
      <c r="S469" s="13"/>
      <c r="T469" s="13"/>
      <c r="U469" s="13"/>
      <c r="V469" s="13"/>
      <c r="Y469" s="14"/>
      <c r="Z469" s="15"/>
    </row>
    <row r="470" spans="1:26" x14ac:dyDescent="0.25">
      <c r="A470" s="12"/>
      <c r="B470" s="12"/>
      <c r="C470" s="10"/>
      <c r="D470" s="10"/>
      <c r="E470" s="10"/>
      <c r="F470" s="10"/>
      <c r="G470" s="10"/>
      <c r="M470" s="13"/>
      <c r="N470" s="13"/>
      <c r="O470" s="13"/>
      <c r="P470" s="11"/>
      <c r="Q470" s="13"/>
      <c r="R470" s="13"/>
      <c r="S470" s="13"/>
      <c r="T470" s="13"/>
      <c r="U470" s="13"/>
      <c r="V470" s="13"/>
      <c r="Y470" s="14"/>
      <c r="Z470" s="15"/>
    </row>
    <row r="471" spans="1:26" x14ac:dyDescent="0.25">
      <c r="A471" s="12"/>
      <c r="B471" s="12"/>
      <c r="C471" s="10"/>
      <c r="D471" s="10"/>
      <c r="E471" s="10"/>
      <c r="F471" s="10"/>
      <c r="G471" s="10"/>
      <c r="M471" s="13"/>
      <c r="N471" s="13"/>
      <c r="O471" s="13"/>
      <c r="P471" s="11"/>
      <c r="Q471" s="13"/>
      <c r="R471" s="13"/>
      <c r="S471" s="13"/>
      <c r="T471" s="13"/>
      <c r="U471" s="13"/>
      <c r="V471" s="13"/>
      <c r="Y471" s="14"/>
      <c r="Z471" s="15"/>
    </row>
    <row r="472" spans="1:26" x14ac:dyDescent="0.25">
      <c r="A472" s="12"/>
      <c r="B472" s="12"/>
      <c r="C472" s="10"/>
      <c r="D472" s="10"/>
      <c r="E472" s="10"/>
      <c r="F472" s="10"/>
      <c r="G472" s="10"/>
      <c r="M472" s="13"/>
      <c r="N472" s="13"/>
      <c r="O472" s="13"/>
      <c r="P472" s="11"/>
      <c r="Q472" s="13"/>
      <c r="R472" s="13"/>
      <c r="S472" s="13"/>
      <c r="T472" s="13"/>
      <c r="U472" s="13"/>
      <c r="V472" s="13"/>
      <c r="Y472" s="14"/>
      <c r="Z472" s="15"/>
    </row>
    <row r="473" spans="1:26" x14ac:dyDescent="0.25">
      <c r="A473" s="12"/>
      <c r="B473" s="12"/>
      <c r="C473" s="10"/>
      <c r="D473" s="10"/>
      <c r="E473" s="10"/>
      <c r="F473" s="10"/>
      <c r="G473" s="10"/>
      <c r="M473" s="13"/>
      <c r="N473" s="13"/>
      <c r="O473" s="13"/>
      <c r="P473" s="11"/>
      <c r="Q473" s="13"/>
      <c r="R473" s="13"/>
      <c r="S473" s="13"/>
      <c r="T473" s="13"/>
      <c r="U473" s="13"/>
      <c r="V473" s="13"/>
      <c r="Y473" s="14"/>
      <c r="Z473" s="15"/>
    </row>
    <row r="474" spans="1:26" x14ac:dyDescent="0.25">
      <c r="A474" s="12"/>
      <c r="B474" s="12"/>
      <c r="C474" s="10"/>
      <c r="D474" s="10"/>
      <c r="E474" s="10"/>
      <c r="F474" s="10"/>
      <c r="G474" s="10"/>
      <c r="M474" s="13"/>
      <c r="N474" s="13"/>
      <c r="O474" s="13"/>
      <c r="P474" s="11"/>
      <c r="Q474" s="13"/>
      <c r="R474" s="13"/>
      <c r="S474" s="13"/>
      <c r="T474" s="13"/>
      <c r="U474" s="13"/>
      <c r="V474" s="13"/>
      <c r="Y474" s="14"/>
      <c r="Z474" s="15"/>
    </row>
    <row r="475" spans="1:26" x14ac:dyDescent="0.25">
      <c r="A475" s="12"/>
      <c r="B475" s="12"/>
      <c r="C475" s="10"/>
      <c r="D475" s="10"/>
      <c r="E475" s="10"/>
      <c r="F475" s="10"/>
      <c r="G475" s="10"/>
      <c r="M475" s="13"/>
      <c r="N475" s="13"/>
      <c r="O475" s="13"/>
      <c r="P475" s="11"/>
      <c r="Q475" s="13"/>
      <c r="R475" s="13"/>
      <c r="S475" s="13"/>
      <c r="T475" s="13"/>
      <c r="U475" s="13"/>
      <c r="V475" s="13"/>
      <c r="Y475" s="14"/>
      <c r="Z475" s="15"/>
    </row>
    <row r="476" spans="1:26" x14ac:dyDescent="0.25">
      <c r="A476" s="12"/>
      <c r="B476" s="12"/>
      <c r="C476" s="10"/>
      <c r="D476" s="10"/>
      <c r="E476" s="10"/>
      <c r="F476" s="10"/>
      <c r="G476" s="10"/>
      <c r="M476" s="13"/>
      <c r="N476" s="13"/>
      <c r="O476" s="13"/>
      <c r="P476" s="11"/>
      <c r="Q476" s="13"/>
      <c r="R476" s="13"/>
      <c r="S476" s="13"/>
      <c r="T476" s="13"/>
      <c r="U476" s="13"/>
      <c r="V476" s="13"/>
      <c r="Y476" s="14"/>
      <c r="Z476" s="15"/>
    </row>
    <row r="477" spans="1:26" x14ac:dyDescent="0.25">
      <c r="A477" s="12"/>
      <c r="B477" s="12"/>
      <c r="C477" s="10"/>
      <c r="D477" s="10"/>
      <c r="E477" s="10"/>
      <c r="F477" s="10"/>
      <c r="G477" s="10"/>
      <c r="M477" s="13"/>
      <c r="N477" s="13"/>
      <c r="O477" s="13"/>
      <c r="P477" s="11"/>
      <c r="Q477" s="13"/>
      <c r="R477" s="13"/>
      <c r="S477" s="13"/>
      <c r="T477" s="13"/>
      <c r="U477" s="13"/>
      <c r="V477" s="13"/>
      <c r="Y477" s="14"/>
      <c r="Z477" s="15"/>
    </row>
    <row r="478" spans="1:26" x14ac:dyDescent="0.25">
      <c r="A478" s="12"/>
      <c r="B478" s="12"/>
      <c r="C478" s="10"/>
      <c r="D478" s="10"/>
      <c r="E478" s="10"/>
      <c r="F478" s="10"/>
      <c r="G478" s="10"/>
      <c r="M478" s="13"/>
      <c r="N478" s="13"/>
      <c r="O478" s="13"/>
      <c r="P478" s="11"/>
      <c r="Q478" s="13"/>
      <c r="R478" s="13"/>
      <c r="S478" s="13"/>
      <c r="T478" s="13"/>
      <c r="U478" s="13"/>
      <c r="V478" s="13"/>
      <c r="Y478" s="14"/>
      <c r="Z478" s="15"/>
    </row>
    <row r="479" spans="1:26" x14ac:dyDescent="0.25">
      <c r="A479" s="12"/>
      <c r="B479" s="12"/>
      <c r="C479" s="10"/>
      <c r="D479" s="10"/>
      <c r="E479" s="10"/>
      <c r="F479" s="10"/>
      <c r="G479" s="10"/>
      <c r="M479" s="13"/>
      <c r="N479" s="13"/>
      <c r="O479" s="13"/>
      <c r="P479" s="11"/>
      <c r="Q479" s="13"/>
      <c r="R479" s="13"/>
      <c r="S479" s="13"/>
      <c r="T479" s="13"/>
      <c r="U479" s="13"/>
      <c r="V479" s="13"/>
      <c r="Y479" s="14"/>
      <c r="Z479" s="15"/>
    </row>
    <row r="480" spans="1:26" x14ac:dyDescent="0.25">
      <c r="A480" s="12"/>
      <c r="B480" s="12"/>
      <c r="C480" s="10"/>
      <c r="D480" s="10"/>
      <c r="E480" s="10"/>
      <c r="F480" s="10"/>
      <c r="G480" s="10"/>
      <c r="M480" s="13"/>
      <c r="N480" s="13"/>
      <c r="O480" s="13"/>
      <c r="P480" s="11"/>
      <c r="Q480" s="13"/>
      <c r="R480" s="13"/>
      <c r="S480" s="13"/>
      <c r="T480" s="13"/>
      <c r="U480" s="13"/>
      <c r="V480" s="13"/>
      <c r="Y480" s="14"/>
      <c r="Z480" s="15"/>
    </row>
    <row r="481" spans="1:26" x14ac:dyDescent="0.25">
      <c r="A481" s="12"/>
      <c r="B481" s="12"/>
      <c r="C481" s="10"/>
      <c r="D481" s="10"/>
      <c r="E481" s="10"/>
      <c r="F481" s="10"/>
      <c r="G481" s="10"/>
      <c r="M481" s="13"/>
      <c r="N481" s="13"/>
      <c r="O481" s="13"/>
      <c r="P481" s="11"/>
      <c r="Q481" s="13"/>
      <c r="R481" s="13"/>
      <c r="S481" s="13"/>
      <c r="T481" s="13"/>
      <c r="U481" s="13"/>
      <c r="V481" s="13"/>
      <c r="Y481" s="14"/>
      <c r="Z481" s="15"/>
    </row>
    <row r="482" spans="1:26" x14ac:dyDescent="0.25">
      <c r="A482" s="12"/>
      <c r="B482" s="12"/>
      <c r="C482" s="10"/>
      <c r="D482" s="10"/>
      <c r="E482" s="10"/>
      <c r="F482" s="10"/>
      <c r="G482" s="10"/>
      <c r="M482" s="13"/>
      <c r="N482" s="13"/>
      <c r="O482" s="13"/>
      <c r="P482" s="11"/>
      <c r="Q482" s="13"/>
      <c r="R482" s="13"/>
      <c r="S482" s="13"/>
      <c r="T482" s="13"/>
      <c r="U482" s="13"/>
      <c r="V482" s="13"/>
      <c r="Y482" s="14"/>
      <c r="Z482" s="15"/>
    </row>
    <row r="483" spans="1:26" x14ac:dyDescent="0.25">
      <c r="A483" s="12"/>
      <c r="B483" s="12"/>
      <c r="C483" s="10"/>
      <c r="D483" s="10"/>
      <c r="E483" s="10"/>
      <c r="F483" s="10"/>
      <c r="G483" s="10"/>
      <c r="M483" s="13"/>
      <c r="N483" s="13"/>
      <c r="O483" s="13"/>
      <c r="P483" s="11"/>
      <c r="Q483" s="13"/>
      <c r="R483" s="13"/>
      <c r="S483" s="13"/>
      <c r="T483" s="13"/>
      <c r="U483" s="13"/>
      <c r="V483" s="13"/>
      <c r="Y483" s="14"/>
      <c r="Z483" s="15"/>
    </row>
    <row r="484" spans="1:26" x14ac:dyDescent="0.25">
      <c r="A484" s="12"/>
      <c r="B484" s="12"/>
      <c r="C484" s="10"/>
      <c r="D484" s="10"/>
      <c r="E484" s="10"/>
      <c r="F484" s="10"/>
      <c r="G484" s="10"/>
      <c r="M484" s="13"/>
      <c r="N484" s="13"/>
      <c r="O484" s="13"/>
      <c r="P484" s="11"/>
      <c r="Q484" s="13"/>
      <c r="R484" s="13"/>
      <c r="S484" s="13"/>
      <c r="T484" s="13"/>
      <c r="U484" s="13"/>
      <c r="V484" s="13"/>
      <c r="Y484" s="14"/>
      <c r="Z484" s="15"/>
    </row>
    <row r="485" spans="1:26" x14ac:dyDescent="0.25">
      <c r="A485" s="12"/>
      <c r="B485" s="12"/>
      <c r="C485" s="10"/>
      <c r="D485" s="10"/>
      <c r="E485" s="10"/>
      <c r="F485" s="10"/>
      <c r="G485" s="10"/>
      <c r="M485" s="13"/>
      <c r="N485" s="13"/>
      <c r="O485" s="13"/>
      <c r="P485" s="11"/>
      <c r="Q485" s="13"/>
      <c r="R485" s="13"/>
      <c r="S485" s="13"/>
      <c r="T485" s="13"/>
      <c r="U485" s="13"/>
      <c r="V485" s="13"/>
      <c r="Y485" s="14"/>
      <c r="Z485" s="15"/>
    </row>
    <row r="486" spans="1:26" x14ac:dyDescent="0.25">
      <c r="A486" s="12"/>
      <c r="B486" s="12"/>
      <c r="C486" s="10"/>
      <c r="D486" s="10"/>
      <c r="E486" s="10"/>
      <c r="F486" s="10"/>
      <c r="G486" s="10"/>
      <c r="M486" s="13"/>
      <c r="N486" s="13"/>
      <c r="O486" s="13"/>
      <c r="P486" s="11"/>
      <c r="Q486" s="13"/>
      <c r="R486" s="13"/>
      <c r="S486" s="13"/>
      <c r="T486" s="13"/>
      <c r="U486" s="13"/>
      <c r="V486" s="13"/>
      <c r="Y486" s="14"/>
      <c r="Z486" s="15"/>
    </row>
    <row r="487" spans="1:26" x14ac:dyDescent="0.25">
      <c r="A487" s="12"/>
      <c r="B487" s="12"/>
      <c r="C487" s="10"/>
      <c r="D487" s="10"/>
      <c r="E487" s="10"/>
      <c r="F487" s="10"/>
      <c r="G487" s="10"/>
      <c r="M487" s="13"/>
      <c r="N487" s="13"/>
      <c r="O487" s="13"/>
      <c r="P487" s="11"/>
      <c r="Q487" s="13"/>
      <c r="R487" s="13"/>
      <c r="S487" s="13"/>
      <c r="T487" s="13"/>
      <c r="U487" s="13"/>
      <c r="V487" s="13"/>
      <c r="Y487" s="14"/>
      <c r="Z487" s="15"/>
    </row>
    <row r="488" spans="1:26" x14ac:dyDescent="0.25">
      <c r="A488" s="12"/>
      <c r="B488" s="12"/>
      <c r="C488" s="10"/>
      <c r="D488" s="10"/>
      <c r="E488" s="10"/>
      <c r="F488" s="10"/>
      <c r="G488" s="10"/>
      <c r="M488" s="13"/>
      <c r="N488" s="13"/>
      <c r="O488" s="13"/>
      <c r="P488" s="11"/>
      <c r="Q488" s="13"/>
      <c r="R488" s="13"/>
      <c r="S488" s="13"/>
      <c r="T488" s="13"/>
      <c r="U488" s="13"/>
      <c r="V488" s="13"/>
      <c r="Y488" s="14"/>
      <c r="Z488" s="15"/>
    </row>
    <row r="489" spans="1:26" x14ac:dyDescent="0.25">
      <c r="A489" s="12"/>
      <c r="B489" s="12"/>
      <c r="C489" s="10"/>
      <c r="D489" s="10"/>
      <c r="E489" s="10"/>
      <c r="F489" s="10"/>
      <c r="G489" s="10"/>
      <c r="M489" s="13"/>
      <c r="N489" s="13"/>
      <c r="O489" s="13"/>
      <c r="P489" s="11"/>
      <c r="Q489" s="13"/>
      <c r="R489" s="13"/>
      <c r="S489" s="13"/>
      <c r="T489" s="13"/>
      <c r="U489" s="13"/>
      <c r="V489" s="13"/>
      <c r="Y489" s="14"/>
      <c r="Z489" s="15"/>
    </row>
    <row r="490" spans="1:26" x14ac:dyDescent="0.25">
      <c r="A490" s="12"/>
      <c r="B490" s="12"/>
      <c r="C490" s="10"/>
      <c r="D490" s="10"/>
      <c r="E490" s="10"/>
      <c r="F490" s="10"/>
      <c r="G490" s="10"/>
      <c r="M490" s="13"/>
      <c r="N490" s="13"/>
      <c r="O490" s="13"/>
      <c r="P490" s="11"/>
      <c r="Q490" s="13"/>
      <c r="R490" s="13"/>
      <c r="S490" s="13"/>
      <c r="T490" s="13"/>
      <c r="U490" s="13"/>
      <c r="V490" s="13"/>
      <c r="Y490" s="14"/>
      <c r="Z490" s="15"/>
    </row>
    <row r="491" spans="1:26" x14ac:dyDescent="0.25">
      <c r="A491" s="12"/>
      <c r="B491" s="12"/>
      <c r="C491" s="10"/>
      <c r="D491" s="10"/>
      <c r="E491" s="10"/>
      <c r="F491" s="10"/>
      <c r="G491" s="10"/>
      <c r="M491" s="13"/>
      <c r="N491" s="13"/>
      <c r="O491" s="13"/>
      <c r="P491" s="11"/>
      <c r="Q491" s="13"/>
      <c r="R491" s="13"/>
      <c r="S491" s="13"/>
      <c r="T491" s="13"/>
      <c r="U491" s="13"/>
      <c r="V491" s="13"/>
      <c r="Y491" s="14"/>
      <c r="Z491" s="15"/>
    </row>
    <row r="492" spans="1:26" x14ac:dyDescent="0.25">
      <c r="A492" s="12"/>
      <c r="B492" s="12"/>
      <c r="C492" s="10"/>
      <c r="D492" s="10"/>
      <c r="E492" s="10"/>
      <c r="F492" s="10"/>
      <c r="G492" s="10"/>
      <c r="M492" s="13"/>
      <c r="N492" s="13"/>
      <c r="O492" s="13"/>
      <c r="P492" s="11"/>
      <c r="Q492" s="13"/>
      <c r="R492" s="13"/>
      <c r="S492" s="13"/>
      <c r="T492" s="13"/>
      <c r="U492" s="13"/>
      <c r="V492" s="13"/>
      <c r="Y492" s="14"/>
      <c r="Z492" s="15"/>
    </row>
    <row r="493" spans="1:26" x14ac:dyDescent="0.25">
      <c r="A493" s="12"/>
      <c r="B493" s="12"/>
      <c r="C493" s="10"/>
      <c r="D493" s="10"/>
      <c r="E493" s="10"/>
      <c r="F493" s="10"/>
      <c r="G493" s="10"/>
      <c r="M493" s="13"/>
      <c r="N493" s="13"/>
      <c r="O493" s="13"/>
      <c r="P493" s="11"/>
      <c r="Q493" s="13"/>
      <c r="R493" s="13"/>
      <c r="S493" s="13"/>
      <c r="T493" s="13"/>
      <c r="U493" s="13"/>
      <c r="V493" s="13"/>
      <c r="Y493" s="14"/>
      <c r="Z493" s="15"/>
    </row>
    <row r="494" spans="1:26" x14ac:dyDescent="0.25">
      <c r="A494" s="12"/>
      <c r="B494" s="12"/>
      <c r="C494" s="10"/>
      <c r="D494" s="10"/>
      <c r="E494" s="10"/>
      <c r="F494" s="10"/>
      <c r="G494" s="10"/>
      <c r="M494" s="13"/>
      <c r="N494" s="13"/>
      <c r="O494" s="13"/>
      <c r="P494" s="11"/>
      <c r="Q494" s="13"/>
      <c r="R494" s="13"/>
      <c r="S494" s="13"/>
      <c r="T494" s="13"/>
      <c r="U494" s="13"/>
      <c r="V494" s="13"/>
      <c r="Y494" s="14"/>
      <c r="Z494" s="15"/>
    </row>
    <row r="495" spans="1:26" x14ac:dyDescent="0.25">
      <c r="A495" s="12"/>
      <c r="B495" s="12"/>
      <c r="C495" s="10"/>
      <c r="D495" s="10"/>
      <c r="E495" s="10"/>
      <c r="F495" s="10"/>
      <c r="G495" s="10"/>
      <c r="M495" s="13"/>
      <c r="N495" s="13"/>
      <c r="O495" s="13"/>
      <c r="P495" s="11"/>
      <c r="Q495" s="13"/>
      <c r="R495" s="13"/>
      <c r="S495" s="13"/>
      <c r="T495" s="13"/>
      <c r="U495" s="13"/>
      <c r="V495" s="13"/>
      <c r="Y495" s="14"/>
      <c r="Z495" s="15"/>
    </row>
    <row r="496" spans="1:26" x14ac:dyDescent="0.25">
      <c r="A496" s="12"/>
      <c r="B496" s="12"/>
      <c r="C496" s="10"/>
      <c r="D496" s="10"/>
      <c r="E496" s="10"/>
      <c r="F496" s="10"/>
      <c r="G496" s="10"/>
      <c r="M496" s="13"/>
      <c r="N496" s="13"/>
      <c r="O496" s="13"/>
      <c r="P496" s="11"/>
      <c r="Q496" s="13"/>
      <c r="R496" s="13"/>
      <c r="S496" s="13"/>
      <c r="T496" s="13"/>
      <c r="U496" s="13"/>
      <c r="V496" s="13"/>
      <c r="Y496" s="14"/>
      <c r="Z496" s="15"/>
    </row>
    <row r="497" spans="1:26" x14ac:dyDescent="0.25">
      <c r="A497" s="12"/>
      <c r="B497" s="12"/>
      <c r="C497" s="10"/>
      <c r="D497" s="10"/>
      <c r="E497" s="10"/>
      <c r="F497" s="10"/>
      <c r="G497" s="10"/>
      <c r="M497" s="13"/>
      <c r="N497" s="13"/>
      <c r="O497" s="13"/>
      <c r="P497" s="11"/>
      <c r="Q497" s="13"/>
      <c r="R497" s="13"/>
      <c r="S497" s="13"/>
      <c r="T497" s="13"/>
      <c r="U497" s="13"/>
      <c r="V497" s="13"/>
      <c r="Y497" s="14"/>
      <c r="Z497" s="15"/>
    </row>
    <row r="498" spans="1:26" x14ac:dyDescent="0.25">
      <c r="A498" s="12"/>
      <c r="B498" s="12"/>
      <c r="C498" s="10"/>
      <c r="D498" s="10"/>
      <c r="E498" s="10"/>
      <c r="F498" s="10"/>
      <c r="G498" s="10"/>
      <c r="M498" s="13"/>
      <c r="N498" s="13"/>
      <c r="O498" s="13"/>
      <c r="P498" s="11"/>
      <c r="Q498" s="13"/>
      <c r="R498" s="13"/>
      <c r="S498" s="13"/>
      <c r="T498" s="13"/>
      <c r="U498" s="13"/>
      <c r="V498" s="13"/>
      <c r="Y498" s="14"/>
      <c r="Z498" s="15"/>
    </row>
    <row r="499" spans="1:26" x14ac:dyDescent="0.25">
      <c r="A499" s="12"/>
      <c r="B499" s="12"/>
      <c r="C499" s="10"/>
      <c r="D499" s="10"/>
      <c r="E499" s="10"/>
      <c r="F499" s="10"/>
      <c r="G499" s="10"/>
      <c r="M499" s="13"/>
      <c r="N499" s="13"/>
      <c r="O499" s="13"/>
      <c r="P499" s="11"/>
      <c r="Q499" s="13"/>
      <c r="R499" s="13"/>
      <c r="S499" s="13"/>
      <c r="T499" s="13"/>
      <c r="U499" s="13"/>
      <c r="V499" s="13"/>
      <c r="Y499" s="14"/>
      <c r="Z499" s="15"/>
    </row>
    <row r="500" spans="1:26" x14ac:dyDescent="0.25">
      <c r="A500" s="12"/>
      <c r="B500" s="12"/>
      <c r="C500" s="10"/>
      <c r="D500" s="10"/>
      <c r="E500" s="10"/>
      <c r="F500" s="10"/>
      <c r="G500" s="10"/>
      <c r="M500" s="13"/>
      <c r="N500" s="13"/>
      <c r="O500" s="13"/>
      <c r="P500" s="11"/>
      <c r="Q500" s="13"/>
      <c r="R500" s="13"/>
      <c r="S500" s="13"/>
      <c r="T500" s="13"/>
      <c r="U500" s="13"/>
      <c r="V500" s="13"/>
      <c r="Y500" s="14"/>
      <c r="Z500" s="15"/>
    </row>
    <row r="501" spans="1:26" x14ac:dyDescent="0.25">
      <c r="A501" s="12"/>
      <c r="B501" s="12"/>
      <c r="C501" s="10"/>
      <c r="D501" s="10"/>
      <c r="E501" s="10"/>
      <c r="F501" s="10"/>
      <c r="G501" s="10"/>
      <c r="M501" s="13"/>
      <c r="N501" s="13"/>
      <c r="O501" s="13"/>
      <c r="P501" s="11"/>
      <c r="Q501" s="13"/>
      <c r="R501" s="13"/>
      <c r="S501" s="13"/>
      <c r="T501" s="13"/>
      <c r="U501" s="13"/>
      <c r="V501" s="13"/>
      <c r="Y501" s="14"/>
      <c r="Z501" s="15"/>
    </row>
    <row r="502" spans="1:26" x14ac:dyDescent="0.25">
      <c r="A502" s="12"/>
      <c r="B502" s="12"/>
      <c r="C502" s="10"/>
      <c r="D502" s="10"/>
      <c r="E502" s="10"/>
      <c r="F502" s="10"/>
      <c r="G502" s="10"/>
      <c r="M502" s="13"/>
      <c r="N502" s="13"/>
      <c r="O502" s="13"/>
      <c r="P502" s="11"/>
      <c r="Q502" s="13"/>
      <c r="R502" s="13"/>
      <c r="S502" s="13"/>
      <c r="T502" s="13"/>
      <c r="U502" s="13"/>
      <c r="V502" s="13"/>
      <c r="Y502" s="14"/>
      <c r="Z502" s="15"/>
    </row>
    <row r="503" spans="1:26" x14ac:dyDescent="0.25">
      <c r="A503" s="12"/>
      <c r="B503" s="12"/>
      <c r="C503" s="10"/>
      <c r="D503" s="10"/>
      <c r="E503" s="10"/>
      <c r="F503" s="10"/>
      <c r="G503" s="10"/>
      <c r="M503" s="13"/>
      <c r="N503" s="13"/>
      <c r="O503" s="13"/>
      <c r="P503" s="11"/>
      <c r="Q503" s="13"/>
      <c r="R503" s="13"/>
      <c r="S503" s="13"/>
      <c r="T503" s="13"/>
      <c r="U503" s="13"/>
      <c r="V503" s="13"/>
      <c r="Y503" s="14"/>
      <c r="Z503" s="15"/>
    </row>
    <row r="504" spans="1:26" x14ac:dyDescent="0.25">
      <c r="A504" s="12"/>
      <c r="B504" s="12"/>
      <c r="C504" s="10"/>
      <c r="D504" s="10"/>
      <c r="E504" s="10"/>
      <c r="F504" s="10"/>
      <c r="G504" s="10"/>
      <c r="M504" s="13"/>
      <c r="N504" s="13"/>
      <c r="O504" s="13"/>
      <c r="P504" s="11"/>
      <c r="Q504" s="13"/>
      <c r="R504" s="13"/>
      <c r="S504" s="13"/>
      <c r="T504" s="13"/>
      <c r="U504" s="13"/>
      <c r="V504" s="13"/>
      <c r="Y504" s="14"/>
      <c r="Z504" s="15"/>
    </row>
    <row r="505" spans="1:26" x14ac:dyDescent="0.25">
      <c r="A505" s="12"/>
      <c r="B505" s="12"/>
      <c r="C505" s="10"/>
      <c r="D505" s="10"/>
      <c r="E505" s="10"/>
      <c r="F505" s="10"/>
      <c r="G505" s="10"/>
      <c r="M505" s="13"/>
      <c r="N505" s="13"/>
      <c r="O505" s="13"/>
      <c r="P505" s="11"/>
      <c r="Q505" s="13"/>
      <c r="R505" s="13"/>
      <c r="S505" s="13"/>
      <c r="T505" s="13"/>
      <c r="U505" s="13"/>
      <c r="V505" s="13"/>
      <c r="Y505" s="14"/>
      <c r="Z505" s="15"/>
    </row>
    <row r="506" spans="1:26" x14ac:dyDescent="0.25">
      <c r="A506" s="12"/>
      <c r="B506" s="12"/>
      <c r="C506" s="10"/>
      <c r="D506" s="10"/>
      <c r="E506" s="10"/>
      <c r="F506" s="10"/>
      <c r="G506" s="10"/>
      <c r="M506" s="13"/>
      <c r="N506" s="13"/>
      <c r="O506" s="13"/>
      <c r="P506" s="11"/>
      <c r="Q506" s="13"/>
      <c r="R506" s="13"/>
      <c r="S506" s="13"/>
      <c r="T506" s="13"/>
      <c r="U506" s="13"/>
      <c r="V506" s="13"/>
      <c r="Y506" s="14"/>
      <c r="Z506" s="15"/>
    </row>
    <row r="507" spans="1:26" x14ac:dyDescent="0.25">
      <c r="A507" s="12"/>
      <c r="B507" s="12"/>
      <c r="C507" s="10"/>
      <c r="D507" s="10"/>
      <c r="E507" s="10"/>
      <c r="F507" s="10"/>
      <c r="G507" s="10"/>
      <c r="M507" s="13"/>
      <c r="N507" s="13"/>
      <c r="O507" s="13"/>
      <c r="P507" s="11"/>
      <c r="Q507" s="13"/>
      <c r="R507" s="13"/>
      <c r="S507" s="13"/>
      <c r="T507" s="13"/>
      <c r="U507" s="13"/>
      <c r="V507" s="13"/>
      <c r="Y507" s="14"/>
      <c r="Z507" s="15"/>
    </row>
    <row r="508" spans="1:26" x14ac:dyDescent="0.25">
      <c r="A508" s="12"/>
      <c r="B508" s="12"/>
      <c r="C508" s="10"/>
      <c r="D508" s="10"/>
      <c r="E508" s="10"/>
      <c r="F508" s="10"/>
      <c r="G508" s="10"/>
      <c r="M508" s="13"/>
      <c r="N508" s="13"/>
      <c r="O508" s="13"/>
      <c r="P508" s="11"/>
      <c r="Q508" s="13"/>
      <c r="R508" s="13"/>
      <c r="S508" s="13"/>
      <c r="T508" s="13"/>
      <c r="U508" s="13"/>
      <c r="V508" s="13"/>
      <c r="Y508" s="14"/>
      <c r="Z508" s="15"/>
    </row>
    <row r="509" spans="1:26" x14ac:dyDescent="0.25">
      <c r="A509" s="12"/>
      <c r="B509" s="12"/>
      <c r="C509" s="10"/>
      <c r="D509" s="10"/>
      <c r="E509" s="10"/>
      <c r="F509" s="10"/>
      <c r="G509" s="10"/>
      <c r="M509" s="13"/>
      <c r="N509" s="13"/>
      <c r="O509" s="13"/>
      <c r="P509" s="11"/>
      <c r="Q509" s="13"/>
      <c r="R509" s="13"/>
      <c r="S509" s="13"/>
      <c r="T509" s="13"/>
      <c r="U509" s="13"/>
      <c r="V509" s="13"/>
      <c r="Y509" s="14"/>
      <c r="Z509" s="15"/>
    </row>
    <row r="510" spans="1:26" x14ac:dyDescent="0.25">
      <c r="A510" s="12"/>
      <c r="B510" s="12"/>
      <c r="C510" s="10"/>
      <c r="D510" s="10"/>
      <c r="E510" s="10"/>
      <c r="F510" s="10"/>
      <c r="G510" s="10"/>
      <c r="M510" s="13"/>
      <c r="N510" s="13"/>
      <c r="O510" s="13"/>
      <c r="P510" s="11"/>
      <c r="Q510" s="13"/>
      <c r="R510" s="13"/>
      <c r="S510" s="13"/>
      <c r="T510" s="13"/>
      <c r="U510" s="13"/>
      <c r="V510" s="13"/>
      <c r="Y510" s="14"/>
      <c r="Z510" s="15"/>
    </row>
    <row r="511" spans="1:26" x14ac:dyDescent="0.25">
      <c r="A511" s="12"/>
      <c r="B511" s="12"/>
      <c r="C511" s="10"/>
      <c r="D511" s="10"/>
      <c r="E511" s="10"/>
      <c r="F511" s="10"/>
      <c r="G511" s="10"/>
      <c r="M511" s="13"/>
      <c r="N511" s="13"/>
      <c r="O511" s="13"/>
      <c r="P511" s="11"/>
      <c r="Q511" s="13"/>
      <c r="R511" s="13"/>
      <c r="S511" s="13"/>
      <c r="T511" s="13"/>
      <c r="U511" s="13"/>
      <c r="V511" s="13"/>
      <c r="Y511" s="14"/>
      <c r="Z511" s="15"/>
    </row>
    <row r="512" spans="1:26" x14ac:dyDescent="0.25">
      <c r="A512" s="12"/>
      <c r="B512" s="12"/>
      <c r="C512" s="10"/>
      <c r="D512" s="10"/>
      <c r="E512" s="10"/>
      <c r="F512" s="10"/>
      <c r="G512" s="10"/>
      <c r="M512" s="13"/>
      <c r="N512" s="13"/>
      <c r="O512" s="13"/>
      <c r="P512" s="11"/>
      <c r="Q512" s="13"/>
      <c r="R512" s="13"/>
      <c r="S512" s="13"/>
      <c r="T512" s="13"/>
      <c r="U512" s="13"/>
      <c r="V512" s="13"/>
      <c r="Y512" s="14"/>
      <c r="Z512" s="15"/>
    </row>
    <row r="513" spans="1:26" x14ac:dyDescent="0.25">
      <c r="A513" s="12"/>
      <c r="B513" s="12"/>
      <c r="C513" s="10"/>
      <c r="D513" s="10"/>
      <c r="E513" s="10"/>
      <c r="F513" s="10"/>
      <c r="G513" s="10"/>
      <c r="M513" s="13"/>
      <c r="N513" s="13"/>
      <c r="O513" s="13"/>
      <c r="P513" s="11"/>
      <c r="Q513" s="13"/>
      <c r="R513" s="13"/>
      <c r="S513" s="13"/>
      <c r="T513" s="13"/>
      <c r="U513" s="13"/>
      <c r="V513" s="13"/>
      <c r="Y513" s="14"/>
      <c r="Z513" s="15"/>
    </row>
    <row r="514" spans="1:26" x14ac:dyDescent="0.25">
      <c r="A514" s="12"/>
      <c r="B514" s="12"/>
      <c r="C514" s="10"/>
      <c r="D514" s="10"/>
      <c r="E514" s="10"/>
      <c r="F514" s="10"/>
      <c r="G514" s="10"/>
      <c r="M514" s="13"/>
      <c r="N514" s="13"/>
      <c r="O514" s="13"/>
      <c r="P514" s="11"/>
      <c r="Q514" s="13"/>
      <c r="R514" s="13"/>
      <c r="S514" s="13"/>
      <c r="T514" s="13"/>
      <c r="U514" s="13"/>
      <c r="V514" s="13"/>
      <c r="Y514" s="14"/>
      <c r="Z514" s="15"/>
    </row>
    <row r="515" spans="1:26" x14ac:dyDescent="0.25">
      <c r="A515" s="12"/>
      <c r="B515" s="12"/>
      <c r="C515" s="10"/>
      <c r="D515" s="10"/>
      <c r="E515" s="10"/>
      <c r="F515" s="10"/>
      <c r="G515" s="10"/>
      <c r="M515" s="13"/>
      <c r="N515" s="13"/>
      <c r="O515" s="13"/>
      <c r="P515" s="11"/>
      <c r="Q515" s="13"/>
      <c r="R515" s="13"/>
      <c r="S515" s="13"/>
      <c r="T515" s="13"/>
      <c r="U515" s="13"/>
      <c r="V515" s="13"/>
      <c r="Y515" s="14"/>
      <c r="Z515" s="15"/>
    </row>
    <row r="516" spans="1:26" x14ac:dyDescent="0.25">
      <c r="A516" s="12"/>
      <c r="B516" s="12"/>
      <c r="C516" s="10"/>
      <c r="D516" s="10"/>
      <c r="E516" s="10"/>
      <c r="F516" s="10"/>
      <c r="G516" s="10"/>
      <c r="M516" s="13"/>
      <c r="N516" s="13"/>
      <c r="O516" s="13"/>
      <c r="P516" s="11"/>
      <c r="Q516" s="13"/>
      <c r="R516" s="13"/>
      <c r="S516" s="13"/>
      <c r="T516" s="13"/>
      <c r="U516" s="13"/>
      <c r="V516" s="13"/>
      <c r="Y516" s="14"/>
      <c r="Z516" s="15"/>
    </row>
    <row r="517" spans="1:26" x14ac:dyDescent="0.25">
      <c r="A517" s="12"/>
      <c r="B517" s="12"/>
      <c r="C517" s="10"/>
      <c r="D517" s="10"/>
      <c r="E517" s="10"/>
      <c r="F517" s="10"/>
      <c r="G517" s="10"/>
      <c r="M517" s="13"/>
      <c r="N517" s="13"/>
      <c r="O517" s="13"/>
      <c r="P517" s="11"/>
      <c r="Q517" s="13"/>
      <c r="R517" s="13"/>
      <c r="S517" s="13"/>
      <c r="T517" s="13"/>
      <c r="U517" s="13"/>
      <c r="V517" s="13"/>
      <c r="Y517" s="14"/>
      <c r="Z517" s="15"/>
    </row>
    <row r="518" spans="1:26" x14ac:dyDescent="0.25">
      <c r="A518" s="12"/>
      <c r="B518" s="12"/>
      <c r="C518" s="10"/>
      <c r="D518" s="10"/>
      <c r="E518" s="10"/>
      <c r="F518" s="10"/>
      <c r="G518" s="10"/>
      <c r="M518" s="13"/>
      <c r="N518" s="13"/>
      <c r="O518" s="13"/>
      <c r="P518" s="11"/>
      <c r="Q518" s="13"/>
      <c r="R518" s="13"/>
      <c r="S518" s="13"/>
      <c r="T518" s="13"/>
      <c r="U518" s="13"/>
      <c r="V518" s="13"/>
      <c r="Y518" s="14"/>
      <c r="Z518" s="15"/>
    </row>
    <row r="519" spans="1:26" x14ac:dyDescent="0.25">
      <c r="A519" s="12"/>
      <c r="B519" s="12"/>
      <c r="C519" s="10"/>
      <c r="D519" s="10"/>
      <c r="E519" s="10"/>
      <c r="F519" s="10"/>
      <c r="G519" s="10"/>
      <c r="M519" s="13"/>
      <c r="N519" s="13"/>
      <c r="O519" s="13"/>
      <c r="P519" s="11"/>
      <c r="Q519" s="13"/>
      <c r="R519" s="13"/>
      <c r="S519" s="13"/>
      <c r="T519" s="13"/>
      <c r="U519" s="13"/>
      <c r="V519" s="13"/>
      <c r="Y519" s="14"/>
      <c r="Z519" s="15"/>
    </row>
    <row r="520" spans="1:26" x14ac:dyDescent="0.25">
      <c r="A520" s="12"/>
      <c r="B520" s="12"/>
      <c r="C520" s="10"/>
      <c r="D520" s="10"/>
      <c r="E520" s="10"/>
      <c r="F520" s="10"/>
      <c r="G520" s="10"/>
      <c r="M520" s="13"/>
      <c r="N520" s="13"/>
      <c r="O520" s="13"/>
      <c r="P520" s="11"/>
      <c r="Q520" s="13"/>
      <c r="R520" s="13"/>
      <c r="S520" s="13"/>
      <c r="T520" s="13"/>
      <c r="U520" s="13"/>
      <c r="V520" s="13"/>
      <c r="Y520" s="14"/>
      <c r="Z520" s="15"/>
    </row>
    <row r="521" spans="1:26" x14ac:dyDescent="0.25">
      <c r="A521" s="12"/>
      <c r="B521" s="12"/>
      <c r="C521" s="10"/>
      <c r="D521" s="10"/>
      <c r="E521" s="10"/>
      <c r="F521" s="10"/>
      <c r="G521" s="10"/>
      <c r="M521" s="13"/>
      <c r="N521" s="13"/>
      <c r="O521" s="13"/>
      <c r="P521" s="11"/>
      <c r="Q521" s="13"/>
      <c r="R521" s="13"/>
      <c r="S521" s="13"/>
      <c r="T521" s="13"/>
      <c r="U521" s="13"/>
      <c r="V521" s="13"/>
      <c r="Y521" s="14"/>
      <c r="Z521" s="15"/>
    </row>
    <row r="522" spans="1:26" x14ac:dyDescent="0.25">
      <c r="A522" s="12"/>
      <c r="B522" s="12"/>
      <c r="C522" s="10"/>
      <c r="D522" s="10"/>
      <c r="E522" s="10"/>
      <c r="F522" s="10"/>
      <c r="G522" s="10"/>
      <c r="M522" s="13"/>
      <c r="N522" s="13"/>
      <c r="O522" s="13"/>
      <c r="P522" s="11"/>
      <c r="Q522" s="13"/>
      <c r="R522" s="13"/>
      <c r="S522" s="13"/>
      <c r="T522" s="13"/>
      <c r="U522" s="13"/>
      <c r="V522" s="13"/>
      <c r="Y522" s="14"/>
      <c r="Z522" s="15"/>
    </row>
    <row r="523" spans="1:26" x14ac:dyDescent="0.25">
      <c r="A523" s="12"/>
      <c r="B523" s="12"/>
      <c r="C523" s="10"/>
      <c r="D523" s="10"/>
      <c r="E523" s="10"/>
      <c r="F523" s="10"/>
      <c r="G523" s="10"/>
      <c r="M523" s="13"/>
      <c r="N523" s="13"/>
      <c r="O523" s="13"/>
      <c r="P523" s="11"/>
      <c r="Q523" s="13"/>
      <c r="R523" s="13"/>
      <c r="S523" s="13"/>
      <c r="T523" s="13"/>
      <c r="U523" s="13"/>
      <c r="V523" s="13"/>
      <c r="Y523" s="14"/>
      <c r="Z523" s="15"/>
    </row>
    <row r="524" spans="1:26" x14ac:dyDescent="0.25">
      <c r="A524" s="12"/>
      <c r="B524" s="12"/>
      <c r="C524" s="10"/>
      <c r="D524" s="10"/>
      <c r="E524" s="10"/>
      <c r="F524" s="10"/>
      <c r="G524" s="10"/>
      <c r="M524" s="13"/>
      <c r="N524" s="13"/>
      <c r="O524" s="13"/>
      <c r="P524" s="11"/>
      <c r="Q524" s="13"/>
      <c r="R524" s="13"/>
      <c r="S524" s="13"/>
      <c r="T524" s="13"/>
      <c r="U524" s="13"/>
      <c r="V524" s="13"/>
      <c r="Y524" s="14"/>
      <c r="Z524" s="15"/>
    </row>
    <row r="525" spans="1:26" x14ac:dyDescent="0.25">
      <c r="A525" s="12"/>
      <c r="B525" s="12"/>
      <c r="C525" s="10"/>
      <c r="D525" s="10"/>
      <c r="E525" s="10"/>
      <c r="F525" s="10"/>
      <c r="G525" s="10"/>
      <c r="M525" s="13"/>
      <c r="N525" s="13"/>
      <c r="O525" s="13"/>
      <c r="P525" s="11"/>
      <c r="Q525" s="13"/>
      <c r="R525" s="13"/>
      <c r="S525" s="13"/>
      <c r="T525" s="13"/>
      <c r="U525" s="13"/>
      <c r="V525" s="13"/>
      <c r="Y525" s="14"/>
      <c r="Z525" s="15"/>
    </row>
    <row r="526" spans="1:26" x14ac:dyDescent="0.25">
      <c r="A526" s="12"/>
      <c r="B526" s="12"/>
      <c r="C526" s="10"/>
      <c r="D526" s="10"/>
      <c r="E526" s="10"/>
      <c r="F526" s="10"/>
      <c r="G526" s="10"/>
      <c r="M526" s="13"/>
      <c r="N526" s="13"/>
      <c r="O526" s="13"/>
      <c r="P526" s="11"/>
      <c r="Q526" s="13"/>
      <c r="R526" s="13"/>
      <c r="S526" s="13"/>
      <c r="T526" s="13"/>
      <c r="U526" s="13"/>
      <c r="V526" s="13"/>
      <c r="Y526" s="14"/>
      <c r="Z526" s="15"/>
    </row>
    <row r="527" spans="1:26" x14ac:dyDescent="0.25">
      <c r="A527" s="12"/>
      <c r="B527" s="12"/>
      <c r="C527" s="10"/>
      <c r="D527" s="10"/>
      <c r="E527" s="10"/>
      <c r="F527" s="10"/>
      <c r="G527" s="10"/>
      <c r="M527" s="13"/>
      <c r="N527" s="13"/>
      <c r="O527" s="13"/>
      <c r="P527" s="11"/>
      <c r="Q527" s="13"/>
      <c r="R527" s="13"/>
      <c r="S527" s="13"/>
      <c r="T527" s="13"/>
      <c r="U527" s="13"/>
      <c r="V527" s="13"/>
      <c r="Y527" s="14"/>
      <c r="Z527" s="15"/>
    </row>
    <row r="528" spans="1:26" x14ac:dyDescent="0.25">
      <c r="A528" s="12"/>
      <c r="B528" s="12"/>
      <c r="C528" s="10"/>
      <c r="D528" s="10"/>
      <c r="E528" s="10"/>
      <c r="F528" s="10"/>
      <c r="G528" s="10"/>
      <c r="M528" s="13"/>
      <c r="N528" s="13"/>
      <c r="O528" s="13"/>
      <c r="P528" s="11"/>
      <c r="Q528" s="13"/>
      <c r="R528" s="13"/>
      <c r="S528" s="13"/>
      <c r="T528" s="13"/>
      <c r="U528" s="13"/>
      <c r="V528" s="13"/>
      <c r="Y528" s="14"/>
      <c r="Z528" s="15"/>
    </row>
    <row r="529" spans="1:26" x14ac:dyDescent="0.25">
      <c r="A529" s="12"/>
      <c r="B529" s="12"/>
      <c r="C529" s="10"/>
      <c r="D529" s="10"/>
      <c r="E529" s="10"/>
      <c r="F529" s="10"/>
      <c r="G529" s="10"/>
      <c r="M529" s="13"/>
      <c r="N529" s="13"/>
      <c r="O529" s="13"/>
      <c r="P529" s="11"/>
      <c r="Q529" s="13"/>
      <c r="R529" s="13"/>
      <c r="S529" s="13"/>
      <c r="T529" s="13"/>
      <c r="U529" s="13"/>
      <c r="V529" s="13"/>
      <c r="Y529" s="14"/>
      <c r="Z529" s="15"/>
    </row>
    <row r="530" spans="1:26" x14ac:dyDescent="0.25">
      <c r="A530" s="12"/>
      <c r="B530" s="12"/>
      <c r="C530" s="10"/>
      <c r="D530" s="10"/>
      <c r="E530" s="10"/>
      <c r="F530" s="10"/>
      <c r="G530" s="10"/>
      <c r="M530" s="13"/>
      <c r="N530" s="13"/>
      <c r="O530" s="13"/>
      <c r="P530" s="11"/>
      <c r="Q530" s="13"/>
      <c r="R530" s="13"/>
      <c r="S530" s="13"/>
      <c r="T530" s="13"/>
      <c r="U530" s="13"/>
      <c r="V530" s="13"/>
      <c r="Y530" s="14"/>
      <c r="Z530" s="15"/>
    </row>
    <row r="531" spans="1:26" x14ac:dyDescent="0.25">
      <c r="A531" s="12"/>
      <c r="B531" s="12"/>
      <c r="C531" s="10"/>
      <c r="D531" s="10"/>
      <c r="E531" s="10"/>
      <c r="F531" s="10"/>
      <c r="G531" s="10"/>
      <c r="M531" s="13"/>
      <c r="N531" s="13"/>
      <c r="O531" s="13"/>
      <c r="P531" s="11"/>
      <c r="Q531" s="13"/>
      <c r="R531" s="13"/>
      <c r="S531" s="13"/>
      <c r="T531" s="13"/>
      <c r="U531" s="13"/>
      <c r="V531" s="13"/>
      <c r="Y531" s="14"/>
      <c r="Z531" s="15"/>
    </row>
    <row r="532" spans="1:26" x14ac:dyDescent="0.25">
      <c r="A532" s="12"/>
      <c r="B532" s="12"/>
      <c r="C532" s="10"/>
      <c r="D532" s="10"/>
      <c r="E532" s="10"/>
      <c r="F532" s="10"/>
      <c r="G532" s="10"/>
      <c r="M532" s="13"/>
      <c r="N532" s="13"/>
      <c r="O532" s="13"/>
      <c r="P532" s="11"/>
      <c r="Q532" s="13"/>
      <c r="R532" s="13"/>
      <c r="S532" s="13"/>
      <c r="T532" s="13"/>
      <c r="U532" s="13"/>
      <c r="V532" s="13"/>
      <c r="Y532" s="14"/>
      <c r="Z532" s="15"/>
    </row>
    <row r="533" spans="1:26" x14ac:dyDescent="0.25">
      <c r="A533" s="12"/>
      <c r="B533" s="12"/>
      <c r="C533" s="10"/>
      <c r="D533" s="10"/>
      <c r="E533" s="10"/>
      <c r="F533" s="10"/>
      <c r="G533" s="10"/>
      <c r="M533" s="13"/>
      <c r="N533" s="13"/>
      <c r="O533" s="13"/>
      <c r="P533" s="11"/>
      <c r="Q533" s="13"/>
      <c r="R533" s="13"/>
      <c r="S533" s="13"/>
      <c r="T533" s="13"/>
      <c r="U533" s="13"/>
      <c r="V533" s="13"/>
      <c r="Y533" s="14"/>
      <c r="Z533" s="15"/>
    </row>
    <row r="534" spans="1:26" x14ac:dyDescent="0.25">
      <c r="A534" s="12"/>
      <c r="B534" s="12"/>
      <c r="C534" s="10"/>
      <c r="D534" s="10"/>
      <c r="E534" s="10"/>
      <c r="F534" s="10"/>
      <c r="G534" s="10"/>
      <c r="M534" s="13"/>
      <c r="N534" s="13"/>
      <c r="O534" s="13"/>
      <c r="P534" s="11"/>
      <c r="Q534" s="13"/>
      <c r="R534" s="13"/>
      <c r="S534" s="13"/>
      <c r="T534" s="13"/>
      <c r="U534" s="13"/>
      <c r="V534" s="13"/>
      <c r="Y534" s="14"/>
      <c r="Z534" s="15"/>
    </row>
    <row r="535" spans="1:26" x14ac:dyDescent="0.25">
      <c r="A535" s="12"/>
      <c r="B535" s="12"/>
      <c r="C535" s="10"/>
      <c r="D535" s="10"/>
      <c r="E535" s="10"/>
      <c r="F535" s="10"/>
      <c r="G535" s="10"/>
      <c r="M535" s="13"/>
      <c r="N535" s="13"/>
      <c r="O535" s="13"/>
      <c r="P535" s="11"/>
      <c r="Q535" s="13"/>
      <c r="R535" s="13"/>
      <c r="S535" s="13"/>
      <c r="T535" s="13"/>
      <c r="U535" s="13"/>
      <c r="V535" s="13"/>
      <c r="Y535" s="14"/>
      <c r="Z535" s="15"/>
    </row>
    <row r="536" spans="1:26" x14ac:dyDescent="0.25">
      <c r="A536" s="12"/>
      <c r="B536" s="12"/>
      <c r="C536" s="10"/>
      <c r="D536" s="10"/>
      <c r="E536" s="10"/>
      <c r="F536" s="10"/>
      <c r="G536" s="10"/>
      <c r="M536" s="13"/>
      <c r="N536" s="13"/>
      <c r="O536" s="13"/>
      <c r="P536" s="11"/>
      <c r="Q536" s="13"/>
      <c r="R536" s="13"/>
      <c r="S536" s="13"/>
      <c r="T536" s="13"/>
      <c r="U536" s="13"/>
      <c r="V536" s="13"/>
      <c r="Y536" s="14"/>
      <c r="Z536" s="15"/>
    </row>
    <row r="537" spans="1:26" x14ac:dyDescent="0.25">
      <c r="A537" s="12"/>
      <c r="B537" s="12"/>
      <c r="C537" s="10"/>
      <c r="D537" s="10"/>
      <c r="E537" s="10"/>
      <c r="F537" s="10"/>
      <c r="G537" s="10"/>
      <c r="M537" s="13"/>
      <c r="N537" s="13"/>
      <c r="O537" s="13"/>
      <c r="P537" s="11"/>
      <c r="Q537" s="13"/>
      <c r="R537" s="13"/>
      <c r="S537" s="13"/>
      <c r="T537" s="13"/>
      <c r="U537" s="13"/>
      <c r="V537" s="13"/>
      <c r="Y537" s="14"/>
      <c r="Z537" s="15"/>
    </row>
    <row r="538" spans="1:26" x14ac:dyDescent="0.25">
      <c r="A538" s="12"/>
      <c r="B538" s="12"/>
      <c r="C538" s="10"/>
      <c r="D538" s="10"/>
      <c r="E538" s="10"/>
      <c r="F538" s="10"/>
      <c r="G538" s="10"/>
      <c r="M538" s="13"/>
      <c r="N538" s="13"/>
      <c r="O538" s="13"/>
      <c r="P538" s="11"/>
      <c r="Q538" s="13"/>
      <c r="R538" s="13"/>
      <c r="S538" s="13"/>
      <c r="T538" s="13"/>
      <c r="U538" s="13"/>
      <c r="V538" s="13"/>
      <c r="Y538" s="14"/>
      <c r="Z538" s="15"/>
    </row>
    <row r="539" spans="1:26" x14ac:dyDescent="0.25">
      <c r="A539" s="12"/>
      <c r="B539" s="12"/>
      <c r="C539" s="10"/>
      <c r="D539" s="10"/>
      <c r="E539" s="10"/>
      <c r="F539" s="10"/>
      <c r="G539" s="10"/>
      <c r="M539" s="13"/>
      <c r="N539" s="13"/>
      <c r="O539" s="13"/>
      <c r="P539" s="11"/>
      <c r="Q539" s="13"/>
      <c r="R539" s="13"/>
      <c r="S539" s="13"/>
      <c r="T539" s="13"/>
      <c r="U539" s="13"/>
      <c r="V539" s="13"/>
      <c r="Y539" s="14"/>
      <c r="Z539" s="15"/>
    </row>
    <row r="540" spans="1:26" x14ac:dyDescent="0.25">
      <c r="A540" s="12"/>
      <c r="B540" s="12"/>
      <c r="C540" s="10"/>
      <c r="D540" s="10"/>
      <c r="E540" s="10"/>
      <c r="F540" s="10"/>
      <c r="G540" s="10"/>
      <c r="M540" s="13"/>
      <c r="N540" s="13"/>
      <c r="O540" s="13"/>
      <c r="P540" s="11"/>
      <c r="Q540" s="13"/>
      <c r="R540" s="13"/>
      <c r="S540" s="13"/>
      <c r="T540" s="13"/>
      <c r="U540" s="13"/>
      <c r="V540" s="13"/>
      <c r="Y540" s="14"/>
      <c r="Z540" s="15"/>
    </row>
    <row r="541" spans="1:26" x14ac:dyDescent="0.25">
      <c r="A541" s="12"/>
      <c r="B541" s="12"/>
      <c r="C541" s="10"/>
      <c r="D541" s="10"/>
      <c r="E541" s="10"/>
      <c r="F541" s="10"/>
      <c r="G541" s="10"/>
      <c r="M541" s="13"/>
      <c r="N541" s="13"/>
      <c r="O541" s="13"/>
      <c r="P541" s="11"/>
      <c r="Q541" s="13"/>
      <c r="R541" s="13"/>
      <c r="S541" s="13"/>
      <c r="T541" s="13"/>
      <c r="U541" s="13"/>
      <c r="V541" s="13"/>
      <c r="Y541" s="14"/>
      <c r="Z541" s="15"/>
    </row>
    <row r="542" spans="1:26" x14ac:dyDescent="0.25">
      <c r="A542" s="12"/>
      <c r="B542" s="12"/>
      <c r="C542" s="10"/>
      <c r="D542" s="10"/>
      <c r="E542" s="10"/>
      <c r="F542" s="10"/>
      <c r="G542" s="10"/>
      <c r="M542" s="13"/>
      <c r="N542" s="13"/>
      <c r="O542" s="13"/>
      <c r="P542" s="11"/>
      <c r="Q542" s="13"/>
      <c r="R542" s="13"/>
      <c r="S542" s="13"/>
      <c r="T542" s="13"/>
      <c r="U542" s="13"/>
      <c r="V542" s="13"/>
      <c r="Y542" s="14"/>
      <c r="Z542" s="15"/>
    </row>
    <row r="543" spans="1:26" x14ac:dyDescent="0.25">
      <c r="A543" s="12"/>
      <c r="B543" s="12"/>
      <c r="C543" s="10"/>
      <c r="D543" s="10"/>
      <c r="E543" s="10"/>
      <c r="F543" s="10"/>
      <c r="G543" s="10"/>
      <c r="M543" s="13"/>
      <c r="N543" s="13"/>
      <c r="O543" s="13"/>
      <c r="P543" s="11"/>
      <c r="Q543" s="13"/>
      <c r="R543" s="13"/>
      <c r="S543" s="13"/>
      <c r="T543" s="13"/>
      <c r="U543" s="13"/>
      <c r="V543" s="13"/>
      <c r="Y543" s="14"/>
      <c r="Z543" s="15"/>
    </row>
    <row r="544" spans="1:26" x14ac:dyDescent="0.25">
      <c r="A544" s="12"/>
      <c r="B544" s="12"/>
      <c r="C544" s="10"/>
      <c r="D544" s="10"/>
      <c r="E544" s="10"/>
      <c r="F544" s="10"/>
      <c r="G544" s="10"/>
      <c r="M544" s="13"/>
      <c r="N544" s="13"/>
      <c r="O544" s="13"/>
      <c r="P544" s="11"/>
      <c r="Q544" s="13"/>
      <c r="R544" s="13"/>
      <c r="S544" s="13"/>
      <c r="T544" s="13"/>
      <c r="U544" s="13"/>
      <c r="V544" s="13"/>
      <c r="Y544" s="14"/>
      <c r="Z544" s="15"/>
    </row>
    <row r="545" spans="1:26" x14ac:dyDescent="0.25">
      <c r="A545" s="12"/>
      <c r="B545" s="12"/>
      <c r="C545" s="10"/>
      <c r="D545" s="10"/>
      <c r="E545" s="10"/>
      <c r="F545" s="10"/>
      <c r="G545" s="10"/>
      <c r="M545" s="13"/>
      <c r="N545" s="13"/>
      <c r="O545" s="13"/>
      <c r="P545" s="11"/>
      <c r="Q545" s="13"/>
      <c r="R545" s="13"/>
      <c r="S545" s="13"/>
      <c r="T545" s="13"/>
      <c r="U545" s="13"/>
      <c r="V545" s="13"/>
      <c r="Y545" s="14"/>
      <c r="Z545" s="15"/>
    </row>
    <row r="546" spans="1:26" x14ac:dyDescent="0.25">
      <c r="A546" s="12"/>
      <c r="B546" s="12"/>
      <c r="C546" s="10"/>
      <c r="D546" s="10"/>
      <c r="E546" s="10"/>
      <c r="F546" s="10"/>
      <c r="G546" s="10"/>
      <c r="M546" s="13"/>
      <c r="N546" s="13"/>
      <c r="O546" s="13"/>
      <c r="P546" s="11"/>
      <c r="Q546" s="13"/>
      <c r="R546" s="13"/>
      <c r="S546" s="13"/>
      <c r="T546" s="13"/>
      <c r="U546" s="13"/>
      <c r="V546" s="13"/>
      <c r="Y546" s="14"/>
      <c r="Z546" s="15"/>
    </row>
    <row r="547" spans="1:26" x14ac:dyDescent="0.25">
      <c r="A547" s="12"/>
      <c r="B547" s="12"/>
      <c r="C547" s="10"/>
      <c r="D547" s="10"/>
      <c r="E547" s="10"/>
      <c r="F547" s="10"/>
      <c r="G547" s="10"/>
      <c r="M547" s="13"/>
      <c r="N547" s="13"/>
      <c r="O547" s="13"/>
      <c r="P547" s="11"/>
      <c r="Q547" s="13"/>
      <c r="R547" s="13"/>
      <c r="S547" s="13"/>
      <c r="T547" s="13"/>
      <c r="U547" s="13"/>
      <c r="V547" s="13"/>
      <c r="Y547" s="14"/>
      <c r="Z547" s="15"/>
    </row>
    <row r="548" spans="1:26" x14ac:dyDescent="0.25">
      <c r="A548" s="12"/>
      <c r="B548" s="12"/>
      <c r="C548" s="10"/>
      <c r="D548" s="10"/>
      <c r="E548" s="10"/>
      <c r="F548" s="10"/>
      <c r="G548" s="10"/>
      <c r="M548" s="13"/>
      <c r="N548" s="13"/>
      <c r="O548" s="13"/>
      <c r="P548" s="11"/>
      <c r="Q548" s="13"/>
      <c r="R548" s="13"/>
      <c r="S548" s="13"/>
      <c r="T548" s="13"/>
      <c r="U548" s="13"/>
      <c r="V548" s="13"/>
      <c r="Y548" s="14"/>
      <c r="Z548" s="15"/>
    </row>
    <row r="549" spans="1:26" x14ac:dyDescent="0.25">
      <c r="A549" s="12"/>
      <c r="B549" s="12"/>
      <c r="C549" s="10"/>
      <c r="D549" s="10"/>
      <c r="E549" s="10"/>
      <c r="F549" s="10"/>
      <c r="G549" s="10"/>
      <c r="M549" s="13"/>
      <c r="N549" s="13"/>
      <c r="O549" s="13"/>
      <c r="P549" s="11"/>
      <c r="Q549" s="13"/>
      <c r="R549" s="13"/>
      <c r="S549" s="13"/>
      <c r="T549" s="13"/>
      <c r="U549" s="13"/>
      <c r="V549" s="13"/>
      <c r="Y549" s="14"/>
      <c r="Z549" s="15"/>
    </row>
    <row r="550" spans="1:26" x14ac:dyDescent="0.25">
      <c r="A550" s="12"/>
      <c r="B550" s="12"/>
      <c r="C550" s="10"/>
      <c r="D550" s="10"/>
      <c r="E550" s="10"/>
      <c r="F550" s="10"/>
      <c r="G550" s="10"/>
      <c r="M550" s="13"/>
      <c r="N550" s="13"/>
      <c r="O550" s="13"/>
      <c r="P550" s="11"/>
      <c r="Q550" s="13"/>
      <c r="R550" s="13"/>
      <c r="S550" s="13"/>
      <c r="T550" s="13"/>
      <c r="U550" s="13"/>
      <c r="V550" s="13"/>
      <c r="Y550" s="14"/>
      <c r="Z550" s="15"/>
    </row>
    <row r="551" spans="1:26" x14ac:dyDescent="0.25">
      <c r="A551" s="12"/>
      <c r="B551" s="12"/>
      <c r="C551" s="10"/>
      <c r="D551" s="10"/>
      <c r="E551" s="10"/>
      <c r="F551" s="10"/>
      <c r="G551" s="10"/>
      <c r="M551" s="13"/>
      <c r="N551" s="13"/>
      <c r="O551" s="13"/>
      <c r="P551" s="11"/>
      <c r="Q551" s="13"/>
      <c r="R551" s="13"/>
      <c r="S551" s="13"/>
      <c r="T551" s="13"/>
      <c r="U551" s="13"/>
      <c r="V551" s="13"/>
      <c r="Y551" s="14"/>
      <c r="Z551" s="15"/>
    </row>
    <row r="552" spans="1:26" x14ac:dyDescent="0.25">
      <c r="A552" s="12"/>
      <c r="B552" s="12"/>
      <c r="C552" s="10"/>
      <c r="D552" s="10"/>
      <c r="E552" s="10"/>
      <c r="F552" s="10"/>
      <c r="G552" s="10"/>
      <c r="M552" s="13"/>
      <c r="N552" s="13"/>
      <c r="O552" s="13"/>
      <c r="P552" s="11"/>
      <c r="Q552" s="13"/>
      <c r="R552" s="13"/>
      <c r="S552" s="13"/>
      <c r="T552" s="13"/>
      <c r="U552" s="13"/>
      <c r="V552" s="13"/>
      <c r="Y552" s="14"/>
      <c r="Z552" s="15"/>
    </row>
    <row r="553" spans="1:26" x14ac:dyDescent="0.25">
      <c r="A553" s="12"/>
      <c r="B553" s="12"/>
      <c r="C553" s="10"/>
      <c r="D553" s="10"/>
      <c r="E553" s="10"/>
      <c r="F553" s="10"/>
      <c r="G553" s="10"/>
      <c r="M553" s="13"/>
      <c r="N553" s="13"/>
      <c r="O553" s="13"/>
      <c r="P553" s="11"/>
      <c r="Q553" s="13"/>
      <c r="R553" s="13"/>
      <c r="S553" s="13"/>
      <c r="T553" s="13"/>
      <c r="U553" s="13"/>
      <c r="V553" s="13"/>
      <c r="Y553" s="14"/>
      <c r="Z553" s="15"/>
    </row>
    <row r="554" spans="1:26" x14ac:dyDescent="0.25">
      <c r="A554" s="12"/>
      <c r="B554" s="12"/>
      <c r="C554" s="10"/>
      <c r="D554" s="10"/>
      <c r="E554" s="10"/>
      <c r="F554" s="10"/>
      <c r="G554" s="10"/>
      <c r="M554" s="13"/>
      <c r="N554" s="13"/>
      <c r="O554" s="13"/>
      <c r="P554" s="11"/>
      <c r="Q554" s="13"/>
      <c r="R554" s="13"/>
      <c r="S554" s="13"/>
      <c r="T554" s="13"/>
      <c r="U554" s="13"/>
      <c r="V554" s="13"/>
      <c r="Y554" s="14"/>
      <c r="Z554" s="15"/>
    </row>
    <row r="555" spans="1:26" x14ac:dyDescent="0.25">
      <c r="A555" s="12"/>
      <c r="B555" s="12"/>
      <c r="C555" s="10"/>
      <c r="D555" s="10"/>
      <c r="E555" s="10"/>
      <c r="F555" s="10"/>
      <c r="G555" s="10"/>
      <c r="M555" s="13"/>
      <c r="N555" s="13"/>
      <c r="O555" s="13"/>
      <c r="P555" s="11"/>
      <c r="Q555" s="13"/>
      <c r="R555" s="13"/>
      <c r="S555" s="13"/>
      <c r="T555" s="13"/>
      <c r="U555" s="13"/>
      <c r="V555" s="13"/>
      <c r="Y555" s="14"/>
      <c r="Z555" s="15"/>
    </row>
    <row r="556" spans="1:26" x14ac:dyDescent="0.25">
      <c r="A556" s="12"/>
      <c r="B556" s="12"/>
      <c r="C556" s="10"/>
      <c r="D556" s="10"/>
      <c r="E556" s="10"/>
      <c r="F556" s="10"/>
      <c r="G556" s="10"/>
      <c r="M556" s="13"/>
      <c r="N556" s="13"/>
      <c r="O556" s="13"/>
      <c r="P556" s="11"/>
      <c r="Q556" s="13"/>
      <c r="R556" s="13"/>
      <c r="S556" s="13"/>
      <c r="T556" s="13"/>
      <c r="U556" s="13"/>
      <c r="V556" s="13"/>
      <c r="Y556" s="14"/>
      <c r="Z556" s="15"/>
    </row>
    <row r="557" spans="1:26" x14ac:dyDescent="0.25">
      <c r="A557" s="12"/>
      <c r="B557" s="12"/>
      <c r="C557" s="10"/>
      <c r="D557" s="10"/>
      <c r="E557" s="10"/>
      <c r="F557" s="10"/>
      <c r="G557" s="10"/>
      <c r="M557" s="13"/>
      <c r="N557" s="13"/>
      <c r="O557" s="13"/>
      <c r="P557" s="11"/>
      <c r="Q557" s="13"/>
      <c r="R557" s="13"/>
      <c r="S557" s="13"/>
      <c r="T557" s="13"/>
      <c r="U557" s="13"/>
      <c r="V557" s="13"/>
      <c r="Y557" s="14"/>
      <c r="Z557" s="15"/>
    </row>
    <row r="558" spans="1:26" x14ac:dyDescent="0.25">
      <c r="A558" s="12"/>
      <c r="B558" s="12"/>
      <c r="C558" s="10"/>
      <c r="D558" s="10"/>
      <c r="E558" s="10"/>
      <c r="F558" s="10"/>
      <c r="G558" s="10"/>
      <c r="M558" s="13"/>
      <c r="N558" s="13"/>
      <c r="O558" s="13"/>
      <c r="P558" s="11"/>
      <c r="Q558" s="13"/>
      <c r="R558" s="13"/>
      <c r="S558" s="13"/>
      <c r="T558" s="13"/>
      <c r="U558" s="13"/>
      <c r="V558" s="13"/>
      <c r="Y558" s="14"/>
      <c r="Z558" s="15"/>
    </row>
    <row r="559" spans="1:26" x14ac:dyDescent="0.25">
      <c r="A559" s="12"/>
      <c r="B559" s="12"/>
      <c r="C559" s="10"/>
      <c r="D559" s="10"/>
      <c r="E559" s="10"/>
      <c r="F559" s="10"/>
      <c r="G559" s="10"/>
      <c r="M559" s="13"/>
      <c r="N559" s="13"/>
      <c r="O559" s="13"/>
      <c r="P559" s="11"/>
      <c r="Q559" s="13"/>
      <c r="R559" s="13"/>
      <c r="S559" s="13"/>
      <c r="T559" s="13"/>
      <c r="U559" s="13"/>
      <c r="V559" s="13"/>
      <c r="Y559" s="14"/>
      <c r="Z559" s="15"/>
    </row>
    <row r="560" spans="1:26" x14ac:dyDescent="0.25">
      <c r="A560" s="12"/>
      <c r="B560" s="12"/>
      <c r="C560" s="10"/>
      <c r="D560" s="10"/>
      <c r="E560" s="10"/>
      <c r="F560" s="10"/>
      <c r="G560" s="10"/>
      <c r="M560" s="13"/>
      <c r="N560" s="13"/>
      <c r="O560" s="13"/>
      <c r="P560" s="11"/>
      <c r="Q560" s="13"/>
      <c r="R560" s="13"/>
      <c r="S560" s="13"/>
      <c r="T560" s="13"/>
      <c r="U560" s="13"/>
      <c r="V560" s="13"/>
      <c r="Y560" s="14"/>
      <c r="Z560" s="15"/>
    </row>
    <row r="561" spans="1:26" x14ac:dyDescent="0.25">
      <c r="A561" s="12"/>
      <c r="B561" s="12"/>
      <c r="C561" s="10"/>
      <c r="D561" s="10"/>
      <c r="E561" s="10"/>
      <c r="F561" s="10"/>
      <c r="G561" s="10"/>
      <c r="M561" s="13"/>
      <c r="N561" s="13"/>
      <c r="O561" s="13"/>
      <c r="P561" s="11"/>
      <c r="Q561" s="13"/>
      <c r="R561" s="13"/>
      <c r="S561" s="13"/>
      <c r="T561" s="13"/>
      <c r="U561" s="13"/>
      <c r="V561" s="13"/>
      <c r="Y561" s="14"/>
      <c r="Z561" s="15"/>
    </row>
    <row r="562" spans="1:26" x14ac:dyDescent="0.25">
      <c r="A562" s="12"/>
      <c r="B562" s="12"/>
      <c r="C562" s="10"/>
      <c r="D562" s="10"/>
      <c r="E562" s="10"/>
      <c r="F562" s="10"/>
      <c r="G562" s="10"/>
      <c r="M562" s="13"/>
      <c r="N562" s="13"/>
      <c r="O562" s="13"/>
      <c r="P562" s="11"/>
      <c r="Q562" s="13"/>
      <c r="R562" s="13"/>
      <c r="S562" s="13"/>
      <c r="T562" s="13"/>
      <c r="U562" s="13"/>
      <c r="V562" s="13"/>
      <c r="Y562" s="14"/>
      <c r="Z562" s="15"/>
    </row>
    <row r="563" spans="1:26" x14ac:dyDescent="0.25">
      <c r="A563" s="12"/>
      <c r="B563" s="12"/>
      <c r="C563" s="10"/>
      <c r="D563" s="10"/>
      <c r="E563" s="10"/>
      <c r="F563" s="10"/>
      <c r="G563" s="10"/>
      <c r="M563" s="13"/>
      <c r="N563" s="13"/>
      <c r="O563" s="13"/>
      <c r="P563" s="11"/>
      <c r="Q563" s="13"/>
      <c r="R563" s="13"/>
      <c r="S563" s="13"/>
      <c r="T563" s="13"/>
      <c r="U563" s="13"/>
      <c r="V563" s="13"/>
      <c r="Y563" s="14"/>
      <c r="Z563" s="15"/>
    </row>
    <row r="564" spans="1:26" x14ac:dyDescent="0.25">
      <c r="A564" s="12"/>
      <c r="B564" s="12"/>
      <c r="C564" s="10"/>
      <c r="D564" s="10"/>
      <c r="E564" s="10"/>
      <c r="F564" s="10"/>
      <c r="G564" s="10"/>
      <c r="M564" s="13"/>
      <c r="N564" s="13"/>
      <c r="O564" s="13"/>
      <c r="P564" s="11"/>
      <c r="Q564" s="13"/>
      <c r="R564" s="13"/>
      <c r="S564" s="13"/>
      <c r="T564" s="13"/>
      <c r="U564" s="13"/>
      <c r="V564" s="13"/>
      <c r="Y564" s="14"/>
      <c r="Z564" s="15"/>
    </row>
    <row r="565" spans="1:26" x14ac:dyDescent="0.25">
      <c r="A565" s="12"/>
      <c r="B565" s="12"/>
      <c r="C565" s="10"/>
      <c r="D565" s="10"/>
      <c r="E565" s="10"/>
      <c r="F565" s="10"/>
      <c r="G565" s="10"/>
      <c r="M565" s="13"/>
      <c r="N565" s="13"/>
      <c r="O565" s="13"/>
      <c r="P565" s="11"/>
      <c r="Q565" s="13"/>
      <c r="R565" s="13"/>
      <c r="S565" s="13"/>
      <c r="T565" s="13"/>
      <c r="U565" s="13"/>
      <c r="V565" s="13"/>
      <c r="Y565" s="14"/>
      <c r="Z565" s="15"/>
    </row>
    <row r="566" spans="1:26" x14ac:dyDescent="0.25">
      <c r="A566" s="12"/>
      <c r="B566" s="12"/>
      <c r="C566" s="10"/>
      <c r="D566" s="10"/>
      <c r="E566" s="10"/>
      <c r="F566" s="10"/>
      <c r="G566" s="10"/>
      <c r="M566" s="13"/>
      <c r="N566" s="13"/>
      <c r="O566" s="13"/>
      <c r="P566" s="11"/>
      <c r="Q566" s="13"/>
      <c r="R566" s="13"/>
      <c r="S566" s="13"/>
      <c r="T566" s="13"/>
      <c r="U566" s="13"/>
      <c r="V566" s="13"/>
      <c r="Y566" s="14"/>
      <c r="Z566" s="15"/>
    </row>
    <row r="567" spans="1:26" x14ac:dyDescent="0.25">
      <c r="A567" s="12"/>
      <c r="B567" s="12"/>
      <c r="C567" s="10"/>
      <c r="D567" s="10"/>
      <c r="E567" s="10"/>
      <c r="F567" s="10"/>
      <c r="G567" s="10"/>
      <c r="M567" s="13"/>
      <c r="N567" s="13"/>
      <c r="O567" s="13"/>
      <c r="P567" s="11"/>
      <c r="Q567" s="13"/>
      <c r="R567" s="13"/>
      <c r="S567" s="13"/>
      <c r="T567" s="13"/>
      <c r="U567" s="13"/>
      <c r="V567" s="13"/>
      <c r="Y567" s="14"/>
      <c r="Z567" s="15"/>
    </row>
    <row r="568" spans="1:26" x14ac:dyDescent="0.25">
      <c r="A568" s="12"/>
      <c r="B568" s="12"/>
      <c r="C568" s="10"/>
      <c r="D568" s="10"/>
      <c r="E568" s="10"/>
      <c r="F568" s="10"/>
      <c r="G568" s="10"/>
      <c r="M568" s="13"/>
      <c r="N568" s="13"/>
      <c r="O568" s="13"/>
      <c r="P568" s="11"/>
      <c r="Q568" s="13"/>
      <c r="R568" s="13"/>
      <c r="S568" s="13"/>
      <c r="T568" s="13"/>
      <c r="U568" s="13"/>
      <c r="V568" s="13"/>
      <c r="Y568" s="14"/>
      <c r="Z568" s="15"/>
    </row>
    <row r="569" spans="1:26" x14ac:dyDescent="0.25">
      <c r="A569" s="12"/>
      <c r="B569" s="12"/>
      <c r="C569" s="10"/>
      <c r="D569" s="10"/>
      <c r="E569" s="10"/>
      <c r="F569" s="10"/>
      <c r="G569" s="10"/>
      <c r="M569" s="13"/>
      <c r="N569" s="13"/>
      <c r="O569" s="13"/>
      <c r="P569" s="11"/>
      <c r="Q569" s="13"/>
      <c r="R569" s="13"/>
      <c r="S569" s="13"/>
      <c r="T569" s="13"/>
      <c r="U569" s="13"/>
      <c r="V569" s="13"/>
      <c r="Y569" s="14"/>
      <c r="Z569" s="15"/>
    </row>
    <row r="570" spans="1:26" x14ac:dyDescent="0.25">
      <c r="A570" s="12"/>
      <c r="B570" s="12"/>
      <c r="C570" s="10"/>
      <c r="D570" s="10"/>
      <c r="E570" s="10"/>
      <c r="F570" s="10"/>
      <c r="G570" s="10"/>
      <c r="M570" s="13"/>
      <c r="N570" s="13"/>
      <c r="O570" s="13"/>
      <c r="P570" s="11"/>
      <c r="Q570" s="13"/>
      <c r="R570" s="13"/>
      <c r="S570" s="13"/>
      <c r="T570" s="13"/>
      <c r="U570" s="13"/>
      <c r="V570" s="13"/>
      <c r="Y570" s="14"/>
      <c r="Z570" s="15"/>
    </row>
    <row r="571" spans="1:26" x14ac:dyDescent="0.25">
      <c r="A571" s="12"/>
      <c r="B571" s="12"/>
      <c r="C571" s="10"/>
      <c r="D571" s="10"/>
      <c r="E571" s="10"/>
      <c r="F571" s="10"/>
      <c r="G571" s="10"/>
      <c r="M571" s="13"/>
      <c r="N571" s="13"/>
      <c r="O571" s="13"/>
      <c r="P571" s="11"/>
      <c r="Q571" s="13"/>
      <c r="R571" s="13"/>
      <c r="S571" s="13"/>
      <c r="T571" s="13"/>
      <c r="U571" s="13"/>
      <c r="V571" s="13"/>
      <c r="Y571" s="14"/>
      <c r="Z571" s="15"/>
    </row>
    <row r="572" spans="1:26" x14ac:dyDescent="0.25">
      <c r="A572" s="12"/>
      <c r="B572" s="12"/>
      <c r="C572" s="10"/>
      <c r="D572" s="10"/>
      <c r="E572" s="10"/>
      <c r="F572" s="10"/>
      <c r="G572" s="10"/>
      <c r="M572" s="13"/>
      <c r="N572" s="13"/>
      <c r="O572" s="13"/>
      <c r="P572" s="11"/>
      <c r="Q572" s="13"/>
      <c r="R572" s="13"/>
      <c r="S572" s="13"/>
      <c r="T572" s="13"/>
      <c r="U572" s="13"/>
      <c r="V572" s="13"/>
      <c r="Y572" s="14"/>
      <c r="Z572" s="15"/>
    </row>
    <row r="573" spans="1:26" x14ac:dyDescent="0.25">
      <c r="A573" s="12"/>
      <c r="B573" s="12"/>
      <c r="C573" s="10"/>
      <c r="D573" s="10"/>
      <c r="E573" s="10"/>
      <c r="F573" s="10"/>
      <c r="G573" s="10"/>
      <c r="M573" s="13"/>
      <c r="N573" s="13"/>
      <c r="O573" s="13"/>
      <c r="P573" s="11"/>
      <c r="Q573" s="13"/>
      <c r="R573" s="13"/>
      <c r="S573" s="13"/>
      <c r="T573" s="13"/>
      <c r="U573" s="13"/>
      <c r="V573" s="13"/>
      <c r="Y573" s="14"/>
      <c r="Z573" s="15"/>
    </row>
    <row r="574" spans="1:26" x14ac:dyDescent="0.25">
      <c r="A574" s="12"/>
      <c r="B574" s="12"/>
      <c r="C574" s="10"/>
      <c r="D574" s="10"/>
      <c r="E574" s="10"/>
      <c r="F574" s="10"/>
      <c r="G574" s="10"/>
      <c r="M574" s="13"/>
      <c r="N574" s="13"/>
      <c r="O574" s="13"/>
      <c r="P574" s="11"/>
      <c r="Q574" s="13"/>
      <c r="R574" s="13"/>
      <c r="S574" s="13"/>
      <c r="T574" s="13"/>
      <c r="U574" s="13"/>
      <c r="V574" s="13"/>
      <c r="Y574" s="14"/>
      <c r="Z574" s="15"/>
    </row>
    <row r="575" spans="1:26" x14ac:dyDescent="0.25">
      <c r="A575" s="12"/>
      <c r="B575" s="12"/>
      <c r="C575" s="10"/>
      <c r="D575" s="10"/>
      <c r="E575" s="10"/>
      <c r="F575" s="10"/>
      <c r="G575" s="10"/>
      <c r="M575" s="13"/>
      <c r="N575" s="13"/>
      <c r="O575" s="13"/>
      <c r="P575" s="11"/>
      <c r="Q575" s="13"/>
      <c r="R575" s="13"/>
      <c r="S575" s="13"/>
      <c r="T575" s="13"/>
      <c r="U575" s="13"/>
      <c r="V575" s="13"/>
      <c r="Y575" s="14"/>
      <c r="Z575" s="15"/>
    </row>
    <row r="576" spans="1:26" x14ac:dyDescent="0.25">
      <c r="A576" s="12"/>
      <c r="B576" s="12"/>
      <c r="C576" s="10"/>
      <c r="D576" s="10"/>
      <c r="E576" s="10"/>
      <c r="F576" s="10"/>
      <c r="G576" s="10"/>
      <c r="M576" s="13"/>
      <c r="N576" s="13"/>
      <c r="O576" s="13"/>
      <c r="P576" s="11"/>
      <c r="Q576" s="13"/>
      <c r="R576" s="13"/>
      <c r="S576" s="13"/>
      <c r="T576" s="13"/>
      <c r="U576" s="13"/>
      <c r="V576" s="13"/>
      <c r="Y576" s="14"/>
      <c r="Z576" s="15"/>
    </row>
    <row r="577" spans="1:26" x14ac:dyDescent="0.25">
      <c r="A577" s="12"/>
      <c r="B577" s="12"/>
      <c r="C577" s="10"/>
      <c r="D577" s="10"/>
      <c r="E577" s="10"/>
      <c r="F577" s="10"/>
      <c r="G577" s="10"/>
      <c r="M577" s="13"/>
      <c r="N577" s="13"/>
      <c r="O577" s="13"/>
      <c r="P577" s="11"/>
      <c r="Q577" s="13"/>
      <c r="R577" s="13"/>
      <c r="S577" s="13"/>
      <c r="T577" s="13"/>
      <c r="U577" s="13"/>
      <c r="V577" s="13"/>
      <c r="Y577" s="14"/>
      <c r="Z577" s="15"/>
    </row>
    <row r="578" spans="1:26" x14ac:dyDescent="0.25">
      <c r="A578" s="12"/>
      <c r="B578" s="12"/>
      <c r="C578" s="10"/>
      <c r="D578" s="10"/>
      <c r="E578" s="10"/>
      <c r="F578" s="10"/>
      <c r="G578" s="10"/>
      <c r="M578" s="13"/>
      <c r="N578" s="13"/>
      <c r="O578" s="13"/>
      <c r="P578" s="11"/>
      <c r="Q578" s="13"/>
      <c r="R578" s="13"/>
      <c r="S578" s="13"/>
      <c r="T578" s="13"/>
      <c r="U578" s="13"/>
      <c r="V578" s="13"/>
      <c r="Y578" s="14"/>
      <c r="Z578" s="15"/>
    </row>
    <row r="579" spans="1:26" x14ac:dyDescent="0.25">
      <c r="A579" s="12"/>
      <c r="B579" s="12"/>
      <c r="C579" s="10"/>
      <c r="D579" s="10"/>
      <c r="E579" s="10"/>
      <c r="F579" s="10"/>
      <c r="G579" s="10"/>
      <c r="M579" s="13"/>
      <c r="N579" s="13"/>
      <c r="O579" s="13"/>
      <c r="P579" s="11"/>
      <c r="Q579" s="13"/>
      <c r="R579" s="13"/>
      <c r="S579" s="13"/>
      <c r="T579" s="13"/>
      <c r="U579" s="13"/>
      <c r="V579" s="13"/>
      <c r="Y579" s="14"/>
      <c r="Z579" s="15"/>
    </row>
    <row r="580" spans="1:26" x14ac:dyDescent="0.25">
      <c r="A580" s="12"/>
      <c r="B580" s="12"/>
      <c r="C580" s="10"/>
      <c r="D580" s="10"/>
      <c r="E580" s="10"/>
      <c r="F580" s="10"/>
      <c r="G580" s="10"/>
      <c r="M580" s="13"/>
      <c r="N580" s="13"/>
      <c r="O580" s="13"/>
      <c r="P580" s="11"/>
      <c r="Q580" s="13"/>
      <c r="R580" s="13"/>
      <c r="S580" s="13"/>
      <c r="T580" s="13"/>
      <c r="U580" s="13"/>
      <c r="V580" s="13"/>
      <c r="Y580" s="14"/>
      <c r="Z580" s="15"/>
    </row>
    <row r="581" spans="1:26" x14ac:dyDescent="0.25">
      <c r="A581" s="12"/>
      <c r="B581" s="12"/>
      <c r="C581" s="10"/>
      <c r="D581" s="10"/>
      <c r="E581" s="10"/>
      <c r="F581" s="10"/>
      <c r="G581" s="10"/>
      <c r="M581" s="13"/>
      <c r="N581" s="13"/>
      <c r="O581" s="13"/>
      <c r="P581" s="11"/>
      <c r="Q581" s="13"/>
      <c r="R581" s="13"/>
      <c r="S581" s="13"/>
      <c r="T581" s="13"/>
      <c r="U581" s="13"/>
      <c r="V581" s="13"/>
      <c r="Y581" s="14"/>
      <c r="Z581" s="15"/>
    </row>
    <row r="582" spans="1:26" x14ac:dyDescent="0.25">
      <c r="A582" s="12"/>
      <c r="B582" s="12"/>
      <c r="C582" s="10"/>
      <c r="D582" s="10"/>
      <c r="E582" s="10"/>
      <c r="F582" s="10"/>
      <c r="G582" s="10"/>
      <c r="M582" s="13"/>
      <c r="N582" s="13"/>
      <c r="O582" s="13"/>
      <c r="P582" s="11"/>
      <c r="Q582" s="13"/>
      <c r="R582" s="13"/>
      <c r="S582" s="13"/>
      <c r="T582" s="13"/>
      <c r="U582" s="13"/>
      <c r="V582" s="13"/>
      <c r="Y582" s="14"/>
      <c r="Z582" s="15"/>
    </row>
    <row r="583" spans="1:26" x14ac:dyDescent="0.25">
      <c r="A583" s="12"/>
      <c r="B583" s="12"/>
      <c r="C583" s="10"/>
      <c r="D583" s="10"/>
      <c r="E583" s="10"/>
      <c r="F583" s="10"/>
      <c r="G583" s="10"/>
      <c r="M583" s="13"/>
      <c r="N583" s="13"/>
      <c r="O583" s="13"/>
      <c r="P583" s="11"/>
      <c r="Q583" s="13"/>
      <c r="R583" s="13"/>
      <c r="S583" s="13"/>
      <c r="T583" s="13"/>
      <c r="U583" s="13"/>
      <c r="V583" s="13"/>
      <c r="Y583" s="14"/>
      <c r="Z583" s="15"/>
    </row>
    <row r="584" spans="1:26" x14ac:dyDescent="0.25">
      <c r="A584" s="12"/>
      <c r="B584" s="12"/>
      <c r="C584" s="10"/>
      <c r="D584" s="10"/>
      <c r="E584" s="10"/>
      <c r="F584" s="10"/>
      <c r="G584" s="10"/>
      <c r="M584" s="13"/>
      <c r="N584" s="13"/>
      <c r="O584" s="13"/>
      <c r="P584" s="11"/>
      <c r="Q584" s="13"/>
      <c r="R584" s="13"/>
      <c r="S584" s="13"/>
      <c r="T584" s="13"/>
      <c r="U584" s="13"/>
      <c r="V584" s="13"/>
      <c r="Y584" s="14"/>
      <c r="Z584" s="15"/>
    </row>
    <row r="585" spans="1:26" x14ac:dyDescent="0.25">
      <c r="A585" s="12"/>
      <c r="B585" s="12"/>
      <c r="C585" s="10"/>
      <c r="D585" s="10"/>
      <c r="E585" s="10"/>
      <c r="F585" s="10"/>
      <c r="G585" s="10"/>
      <c r="M585" s="13"/>
      <c r="N585" s="13"/>
      <c r="O585" s="13"/>
      <c r="P585" s="11"/>
      <c r="Q585" s="13"/>
      <c r="R585" s="13"/>
      <c r="S585" s="13"/>
      <c r="T585" s="13"/>
      <c r="U585" s="13"/>
      <c r="V585" s="13"/>
      <c r="Y585" s="14"/>
      <c r="Z585" s="15"/>
    </row>
    <row r="586" spans="1:26" x14ac:dyDescent="0.25">
      <c r="A586" s="12"/>
      <c r="B586" s="12"/>
      <c r="C586" s="10"/>
      <c r="D586" s="10"/>
      <c r="E586" s="10"/>
      <c r="F586" s="10"/>
      <c r="G586" s="10"/>
      <c r="M586" s="13"/>
      <c r="N586" s="13"/>
      <c r="O586" s="13"/>
      <c r="P586" s="11"/>
      <c r="Q586" s="13"/>
      <c r="R586" s="13"/>
      <c r="S586" s="13"/>
      <c r="T586" s="13"/>
      <c r="U586" s="13"/>
      <c r="V586" s="13"/>
      <c r="Y586" s="14"/>
      <c r="Z586" s="15"/>
    </row>
    <row r="587" spans="1:26" x14ac:dyDescent="0.25">
      <c r="A587" s="12"/>
      <c r="B587" s="12"/>
      <c r="C587" s="10"/>
      <c r="D587" s="10"/>
      <c r="E587" s="10"/>
      <c r="F587" s="10"/>
      <c r="G587" s="10"/>
      <c r="M587" s="13"/>
      <c r="N587" s="13"/>
      <c r="O587" s="13"/>
      <c r="P587" s="11"/>
      <c r="Q587" s="13"/>
      <c r="R587" s="13"/>
      <c r="S587" s="13"/>
      <c r="T587" s="13"/>
      <c r="U587" s="13"/>
      <c r="V587" s="13"/>
      <c r="Y587" s="14"/>
      <c r="Z587" s="15"/>
    </row>
    <row r="588" spans="1:26" x14ac:dyDescent="0.25">
      <c r="A588" s="12"/>
      <c r="B588" s="12"/>
      <c r="C588" s="10"/>
      <c r="D588" s="10"/>
      <c r="E588" s="10"/>
      <c r="F588" s="10"/>
      <c r="G588" s="10"/>
      <c r="M588" s="13"/>
      <c r="N588" s="13"/>
      <c r="O588" s="13"/>
      <c r="P588" s="11"/>
      <c r="Q588" s="13"/>
      <c r="R588" s="13"/>
      <c r="S588" s="13"/>
      <c r="T588" s="13"/>
      <c r="U588" s="13"/>
      <c r="V588" s="13"/>
      <c r="Y588" s="14"/>
      <c r="Z588" s="15"/>
    </row>
    <row r="589" spans="1:26" x14ac:dyDescent="0.25">
      <c r="A589" s="12"/>
      <c r="B589" s="12"/>
      <c r="C589" s="10"/>
      <c r="D589" s="10"/>
      <c r="E589" s="10"/>
      <c r="F589" s="10"/>
      <c r="G589" s="10"/>
      <c r="M589" s="13"/>
      <c r="N589" s="13"/>
      <c r="O589" s="13"/>
      <c r="P589" s="11"/>
      <c r="Q589" s="13"/>
      <c r="R589" s="13"/>
      <c r="S589" s="13"/>
      <c r="T589" s="13"/>
      <c r="U589" s="13"/>
      <c r="V589" s="13"/>
      <c r="Y589" s="14"/>
      <c r="Z589" s="15"/>
    </row>
    <row r="590" spans="1:26" x14ac:dyDescent="0.25">
      <c r="A590" s="12"/>
      <c r="B590" s="12"/>
      <c r="C590" s="10"/>
      <c r="D590" s="10"/>
      <c r="E590" s="10"/>
      <c r="F590" s="10"/>
      <c r="G590" s="10"/>
      <c r="M590" s="13"/>
      <c r="N590" s="13"/>
      <c r="O590" s="13"/>
      <c r="P590" s="11"/>
      <c r="Q590" s="13"/>
      <c r="R590" s="13"/>
      <c r="S590" s="13"/>
      <c r="T590" s="13"/>
      <c r="U590" s="13"/>
      <c r="V590" s="13"/>
      <c r="Y590" s="14"/>
      <c r="Z590" s="15"/>
    </row>
    <row r="591" spans="1:26" x14ac:dyDescent="0.25">
      <c r="A591" s="12"/>
      <c r="B591" s="12"/>
      <c r="C591" s="10"/>
      <c r="D591" s="10"/>
      <c r="E591" s="10"/>
      <c r="F591" s="10"/>
      <c r="G591" s="10"/>
      <c r="M591" s="13"/>
      <c r="N591" s="13"/>
      <c r="O591" s="13"/>
      <c r="P591" s="11"/>
      <c r="Q591" s="13"/>
      <c r="R591" s="13"/>
      <c r="S591" s="13"/>
      <c r="T591" s="13"/>
      <c r="U591" s="13"/>
      <c r="V591" s="13"/>
      <c r="Y591" s="14"/>
      <c r="Z591" s="15"/>
    </row>
    <row r="592" spans="1:26" x14ac:dyDescent="0.25">
      <c r="A592" s="12"/>
      <c r="B592" s="12"/>
      <c r="C592" s="10"/>
      <c r="D592" s="10"/>
      <c r="E592" s="10"/>
      <c r="F592" s="10"/>
      <c r="G592" s="10"/>
      <c r="M592" s="13"/>
      <c r="N592" s="13"/>
      <c r="O592" s="13"/>
      <c r="P592" s="11"/>
      <c r="Q592" s="13"/>
      <c r="R592" s="13"/>
      <c r="S592" s="13"/>
      <c r="T592" s="13"/>
      <c r="U592" s="13"/>
      <c r="V592" s="13"/>
      <c r="Y592" s="14"/>
      <c r="Z592" s="15"/>
    </row>
    <row r="593" spans="1:26" x14ac:dyDescent="0.25">
      <c r="A593" s="12"/>
      <c r="B593" s="12"/>
      <c r="C593" s="10"/>
      <c r="D593" s="10"/>
      <c r="E593" s="10"/>
      <c r="F593" s="10"/>
      <c r="G593" s="10"/>
      <c r="M593" s="13"/>
      <c r="N593" s="13"/>
      <c r="O593" s="13"/>
      <c r="P593" s="11"/>
      <c r="Q593" s="13"/>
      <c r="R593" s="13"/>
      <c r="S593" s="13"/>
      <c r="T593" s="13"/>
      <c r="U593" s="13"/>
      <c r="V593" s="13"/>
      <c r="Y593" s="14"/>
      <c r="Z593" s="15"/>
    </row>
    <row r="594" spans="1:26" x14ac:dyDescent="0.25">
      <c r="A594" s="12"/>
      <c r="B594" s="12"/>
      <c r="C594" s="10"/>
      <c r="D594" s="10"/>
      <c r="E594" s="10"/>
      <c r="F594" s="10"/>
      <c r="G594" s="10"/>
      <c r="M594" s="13"/>
      <c r="N594" s="13"/>
      <c r="O594" s="13"/>
      <c r="P594" s="11"/>
      <c r="Q594" s="13"/>
      <c r="R594" s="13"/>
      <c r="S594" s="13"/>
      <c r="T594" s="13"/>
      <c r="U594" s="13"/>
      <c r="V594" s="13"/>
      <c r="Y594" s="14"/>
      <c r="Z594" s="15"/>
    </row>
    <row r="595" spans="1:26" x14ac:dyDescent="0.25">
      <c r="A595" s="12"/>
      <c r="B595" s="12"/>
      <c r="C595" s="10"/>
      <c r="D595" s="10"/>
      <c r="E595" s="10"/>
      <c r="F595" s="10"/>
      <c r="G595" s="10"/>
      <c r="M595" s="13"/>
      <c r="N595" s="13"/>
      <c r="O595" s="13"/>
      <c r="P595" s="11"/>
      <c r="Q595" s="13"/>
      <c r="R595" s="13"/>
      <c r="S595" s="13"/>
      <c r="T595" s="13"/>
      <c r="U595" s="13"/>
      <c r="V595" s="13"/>
      <c r="Y595" s="14"/>
      <c r="Z595" s="15"/>
    </row>
    <row r="596" spans="1:26" x14ac:dyDescent="0.25">
      <c r="A596" s="12"/>
      <c r="B596" s="12"/>
      <c r="C596" s="10"/>
      <c r="D596" s="10"/>
      <c r="E596" s="10"/>
      <c r="F596" s="10"/>
      <c r="G596" s="10"/>
      <c r="M596" s="13"/>
      <c r="N596" s="13"/>
      <c r="O596" s="13"/>
      <c r="P596" s="11"/>
      <c r="Q596" s="13"/>
      <c r="R596" s="13"/>
      <c r="S596" s="13"/>
      <c r="T596" s="13"/>
      <c r="U596" s="13"/>
      <c r="V596" s="13"/>
      <c r="Y596" s="14"/>
      <c r="Z596" s="15"/>
    </row>
    <row r="597" spans="1:26" x14ac:dyDescent="0.25">
      <c r="A597" s="12"/>
      <c r="B597" s="12"/>
      <c r="C597" s="10"/>
      <c r="D597" s="10"/>
      <c r="E597" s="10"/>
      <c r="F597" s="10"/>
      <c r="G597" s="10"/>
      <c r="M597" s="13"/>
      <c r="N597" s="13"/>
      <c r="O597" s="13"/>
      <c r="P597" s="11"/>
      <c r="Q597" s="13"/>
      <c r="R597" s="13"/>
      <c r="S597" s="13"/>
      <c r="T597" s="13"/>
      <c r="U597" s="13"/>
      <c r="V597" s="13"/>
      <c r="Y597" s="14"/>
      <c r="Z597" s="15"/>
    </row>
    <row r="598" spans="1:26" x14ac:dyDescent="0.25">
      <c r="A598" s="12"/>
      <c r="B598" s="12"/>
      <c r="C598" s="10"/>
      <c r="D598" s="10"/>
      <c r="E598" s="10"/>
      <c r="F598" s="10"/>
      <c r="G598" s="10"/>
      <c r="M598" s="13"/>
      <c r="N598" s="13"/>
      <c r="O598" s="13"/>
      <c r="P598" s="11"/>
      <c r="Q598" s="13"/>
      <c r="R598" s="13"/>
      <c r="S598" s="13"/>
      <c r="T598" s="13"/>
      <c r="U598" s="13"/>
      <c r="V598" s="13"/>
      <c r="Y598" s="14"/>
      <c r="Z598" s="15"/>
    </row>
    <row r="599" spans="1:26" x14ac:dyDescent="0.25">
      <c r="A599" s="12"/>
      <c r="B599" s="12"/>
      <c r="C599" s="10"/>
      <c r="D599" s="10"/>
      <c r="E599" s="10"/>
      <c r="F599" s="10"/>
      <c r="G599" s="10"/>
      <c r="M599" s="13"/>
      <c r="N599" s="13"/>
      <c r="O599" s="13"/>
      <c r="P599" s="11"/>
      <c r="Q599" s="13"/>
      <c r="R599" s="13"/>
      <c r="S599" s="13"/>
      <c r="T599" s="13"/>
      <c r="U599" s="13"/>
      <c r="V599" s="13"/>
      <c r="Y599" s="14"/>
      <c r="Z599" s="15"/>
    </row>
    <row r="600" spans="1:26" x14ac:dyDescent="0.25">
      <c r="A600" s="12"/>
      <c r="B600" s="12"/>
      <c r="C600" s="10"/>
      <c r="D600" s="10"/>
      <c r="E600" s="10"/>
      <c r="F600" s="10"/>
      <c r="G600" s="10"/>
      <c r="M600" s="13"/>
      <c r="N600" s="13"/>
      <c r="O600" s="13"/>
      <c r="P600" s="11"/>
      <c r="Q600" s="13"/>
      <c r="R600" s="13"/>
      <c r="S600" s="13"/>
      <c r="T600" s="13"/>
      <c r="U600" s="13"/>
      <c r="V600" s="13"/>
      <c r="Y600" s="14"/>
      <c r="Z600" s="15"/>
    </row>
    <row r="601" spans="1:26" x14ac:dyDescent="0.25">
      <c r="A601" s="12"/>
      <c r="B601" s="12"/>
      <c r="C601" s="10"/>
      <c r="D601" s="10"/>
      <c r="E601" s="10"/>
      <c r="F601" s="10"/>
      <c r="G601" s="10"/>
      <c r="M601" s="13"/>
      <c r="N601" s="13"/>
      <c r="O601" s="13"/>
      <c r="P601" s="11"/>
      <c r="Q601" s="13"/>
      <c r="R601" s="13"/>
      <c r="S601" s="13"/>
      <c r="T601" s="13"/>
      <c r="U601" s="13"/>
      <c r="V601" s="13"/>
      <c r="Y601" s="14"/>
      <c r="Z601" s="15"/>
    </row>
    <row r="602" spans="1:26" x14ac:dyDescent="0.25">
      <c r="A602" s="12"/>
      <c r="B602" s="12"/>
      <c r="C602" s="10"/>
      <c r="D602" s="10"/>
      <c r="E602" s="10"/>
      <c r="F602" s="10"/>
      <c r="G602" s="10"/>
      <c r="M602" s="13"/>
      <c r="N602" s="13"/>
      <c r="O602" s="13"/>
      <c r="P602" s="11"/>
      <c r="Q602" s="13"/>
      <c r="R602" s="13"/>
      <c r="S602" s="13"/>
      <c r="T602" s="13"/>
      <c r="U602" s="13"/>
      <c r="V602" s="13"/>
      <c r="Y602" s="14"/>
      <c r="Z602" s="15"/>
    </row>
    <row r="603" spans="1:26" x14ac:dyDescent="0.25">
      <c r="A603" s="12"/>
      <c r="B603" s="12"/>
      <c r="C603" s="10"/>
      <c r="D603" s="10"/>
      <c r="E603" s="10"/>
      <c r="F603" s="10"/>
      <c r="G603" s="10"/>
      <c r="M603" s="13"/>
      <c r="N603" s="13"/>
      <c r="O603" s="13"/>
      <c r="P603" s="11"/>
      <c r="Q603" s="13"/>
      <c r="R603" s="13"/>
      <c r="S603" s="13"/>
      <c r="T603" s="13"/>
      <c r="U603" s="13"/>
      <c r="V603" s="13"/>
      <c r="Y603" s="14"/>
      <c r="Z603" s="15"/>
    </row>
    <row r="604" spans="1:26" x14ac:dyDescent="0.25">
      <c r="A604" s="12"/>
      <c r="B604" s="12"/>
      <c r="C604" s="10"/>
      <c r="D604" s="10"/>
      <c r="E604" s="10"/>
      <c r="F604" s="10"/>
      <c r="G604" s="10"/>
      <c r="M604" s="13"/>
      <c r="N604" s="13"/>
      <c r="O604" s="13"/>
      <c r="P604" s="11"/>
      <c r="Q604" s="13"/>
      <c r="R604" s="13"/>
      <c r="S604" s="13"/>
      <c r="T604" s="13"/>
      <c r="U604" s="13"/>
      <c r="V604" s="13"/>
      <c r="Y604" s="14"/>
      <c r="Z604" s="15"/>
    </row>
    <row r="605" spans="1:26" x14ac:dyDescent="0.25">
      <c r="A605" s="12"/>
      <c r="B605" s="12"/>
      <c r="C605" s="10"/>
      <c r="D605" s="10"/>
      <c r="E605" s="10"/>
      <c r="F605" s="10"/>
      <c r="G605" s="10"/>
      <c r="M605" s="13"/>
      <c r="N605" s="13"/>
      <c r="O605" s="13"/>
      <c r="P605" s="11"/>
      <c r="Q605" s="13"/>
      <c r="R605" s="13"/>
      <c r="S605" s="13"/>
      <c r="T605" s="13"/>
      <c r="U605" s="13"/>
      <c r="V605" s="13"/>
      <c r="Y605" s="14"/>
      <c r="Z605" s="15"/>
    </row>
    <row r="606" spans="1:26" x14ac:dyDescent="0.25">
      <c r="A606" s="12"/>
      <c r="B606" s="12"/>
      <c r="C606" s="10"/>
      <c r="D606" s="10"/>
      <c r="E606" s="10"/>
      <c r="F606" s="10"/>
      <c r="G606" s="10"/>
      <c r="M606" s="13"/>
      <c r="N606" s="13"/>
      <c r="O606" s="13"/>
      <c r="P606" s="11"/>
      <c r="Q606" s="13"/>
      <c r="R606" s="13"/>
      <c r="S606" s="13"/>
      <c r="T606" s="13"/>
      <c r="U606" s="13"/>
      <c r="V606" s="13"/>
      <c r="Y606" s="14"/>
      <c r="Z606" s="15"/>
    </row>
    <row r="607" spans="1:26" x14ac:dyDescent="0.25">
      <c r="A607" s="12"/>
      <c r="B607" s="12"/>
      <c r="C607" s="10"/>
      <c r="D607" s="10"/>
      <c r="E607" s="10"/>
      <c r="F607" s="10"/>
      <c r="G607" s="10"/>
      <c r="M607" s="13"/>
      <c r="N607" s="13"/>
      <c r="O607" s="13"/>
      <c r="P607" s="11"/>
      <c r="Q607" s="13"/>
      <c r="R607" s="13"/>
      <c r="S607" s="13"/>
      <c r="T607" s="13"/>
      <c r="U607" s="13"/>
      <c r="V607" s="13"/>
      <c r="Y607" s="14"/>
      <c r="Z607" s="15"/>
    </row>
    <row r="608" spans="1:26" x14ac:dyDescent="0.25">
      <c r="A608" s="12"/>
      <c r="B608" s="12"/>
      <c r="C608" s="10"/>
      <c r="D608" s="10"/>
      <c r="E608" s="10"/>
      <c r="F608" s="10"/>
      <c r="G608" s="10"/>
      <c r="M608" s="13"/>
      <c r="N608" s="13"/>
      <c r="O608" s="13"/>
      <c r="P608" s="11"/>
      <c r="Q608" s="13"/>
      <c r="R608" s="13"/>
      <c r="S608" s="13"/>
      <c r="T608" s="13"/>
      <c r="U608" s="13"/>
      <c r="V608" s="13"/>
      <c r="Y608" s="14"/>
      <c r="Z608" s="15"/>
    </row>
    <row r="609" spans="1:26" x14ac:dyDescent="0.25">
      <c r="A609" s="12"/>
      <c r="B609" s="12"/>
      <c r="C609" s="10"/>
      <c r="D609" s="10"/>
      <c r="E609" s="10"/>
      <c r="F609" s="10"/>
      <c r="G609" s="10"/>
      <c r="M609" s="13"/>
      <c r="N609" s="13"/>
      <c r="O609" s="13"/>
      <c r="P609" s="11"/>
      <c r="Q609" s="13"/>
      <c r="R609" s="13"/>
      <c r="S609" s="13"/>
      <c r="T609" s="13"/>
      <c r="U609" s="13"/>
      <c r="V609" s="13"/>
      <c r="Y609" s="14"/>
      <c r="Z609" s="15"/>
    </row>
    <row r="610" spans="1:26" x14ac:dyDescent="0.25">
      <c r="A610" s="12"/>
      <c r="B610" s="12"/>
      <c r="C610" s="10"/>
      <c r="D610" s="10"/>
      <c r="E610" s="10"/>
      <c r="F610" s="10"/>
      <c r="G610" s="10"/>
      <c r="M610" s="13"/>
      <c r="N610" s="13"/>
      <c r="O610" s="13"/>
      <c r="P610" s="11"/>
      <c r="Q610" s="13"/>
      <c r="R610" s="13"/>
      <c r="S610" s="13"/>
      <c r="T610" s="13"/>
      <c r="U610" s="13"/>
      <c r="V610" s="13"/>
      <c r="Y610" s="14"/>
      <c r="Z610" s="15"/>
    </row>
    <row r="611" spans="1:26" x14ac:dyDescent="0.25">
      <c r="A611" s="12"/>
      <c r="B611" s="12"/>
      <c r="C611" s="10"/>
      <c r="D611" s="10"/>
      <c r="E611" s="10"/>
      <c r="F611" s="10"/>
      <c r="G611" s="10"/>
      <c r="M611" s="13"/>
      <c r="N611" s="13"/>
      <c r="O611" s="13"/>
      <c r="P611" s="11"/>
      <c r="Q611" s="13"/>
      <c r="R611" s="13"/>
      <c r="S611" s="13"/>
      <c r="T611" s="13"/>
      <c r="U611" s="13"/>
      <c r="V611" s="13"/>
      <c r="Y611" s="14"/>
      <c r="Z611" s="15"/>
    </row>
    <row r="612" spans="1:26" x14ac:dyDescent="0.25">
      <c r="A612" s="12"/>
      <c r="B612" s="12"/>
      <c r="C612" s="10"/>
      <c r="D612" s="10"/>
      <c r="E612" s="10"/>
      <c r="F612" s="10"/>
      <c r="G612" s="10"/>
      <c r="M612" s="13"/>
      <c r="N612" s="13"/>
      <c r="O612" s="13"/>
      <c r="P612" s="11"/>
      <c r="Q612" s="13"/>
      <c r="R612" s="13"/>
      <c r="S612" s="13"/>
      <c r="T612" s="13"/>
      <c r="U612" s="13"/>
      <c r="V612" s="13"/>
      <c r="Y612" s="14"/>
      <c r="Z612" s="15"/>
    </row>
    <row r="613" spans="1:26" x14ac:dyDescent="0.25">
      <c r="A613" s="12"/>
      <c r="B613" s="12"/>
      <c r="C613" s="10"/>
      <c r="D613" s="10"/>
      <c r="E613" s="10"/>
      <c r="F613" s="10"/>
      <c r="G613" s="10"/>
      <c r="M613" s="13"/>
      <c r="N613" s="13"/>
      <c r="O613" s="13"/>
      <c r="P613" s="11"/>
      <c r="Q613" s="13"/>
      <c r="R613" s="13"/>
      <c r="S613" s="13"/>
      <c r="T613" s="13"/>
      <c r="U613" s="13"/>
      <c r="V613" s="13"/>
      <c r="Y613" s="14"/>
      <c r="Z613" s="15"/>
    </row>
    <row r="614" spans="1:26" x14ac:dyDescent="0.25">
      <c r="A614" s="12"/>
      <c r="B614" s="12"/>
      <c r="C614" s="10"/>
      <c r="D614" s="10"/>
      <c r="E614" s="10"/>
      <c r="F614" s="10"/>
      <c r="G614" s="10"/>
      <c r="M614" s="13"/>
      <c r="N614" s="13"/>
      <c r="O614" s="13"/>
      <c r="P614" s="11"/>
      <c r="Q614" s="13"/>
      <c r="R614" s="13"/>
      <c r="S614" s="13"/>
      <c r="T614" s="13"/>
      <c r="U614" s="13"/>
      <c r="V614" s="13"/>
      <c r="Y614" s="14"/>
      <c r="Z614" s="15"/>
    </row>
    <row r="615" spans="1:26" x14ac:dyDescent="0.25">
      <c r="A615" s="12"/>
      <c r="B615" s="12"/>
      <c r="C615" s="10"/>
      <c r="D615" s="10"/>
      <c r="E615" s="10"/>
      <c r="F615" s="10"/>
      <c r="G615" s="10"/>
      <c r="M615" s="13"/>
      <c r="N615" s="13"/>
      <c r="O615" s="13"/>
      <c r="P615" s="11"/>
      <c r="Q615" s="13"/>
      <c r="R615" s="13"/>
      <c r="S615" s="13"/>
      <c r="T615" s="13"/>
      <c r="U615" s="13"/>
      <c r="V615" s="13"/>
      <c r="Y615" s="14"/>
      <c r="Z615" s="15"/>
    </row>
    <row r="616" spans="1:26" x14ac:dyDescent="0.25">
      <c r="A616" s="12"/>
      <c r="B616" s="12"/>
      <c r="C616" s="10"/>
      <c r="D616" s="10"/>
      <c r="E616" s="10"/>
      <c r="F616" s="10"/>
      <c r="G616" s="10"/>
      <c r="M616" s="13"/>
      <c r="N616" s="13"/>
      <c r="O616" s="13"/>
      <c r="P616" s="11"/>
      <c r="Q616" s="13"/>
      <c r="R616" s="13"/>
      <c r="S616" s="13"/>
      <c r="T616" s="13"/>
      <c r="U616" s="13"/>
      <c r="V616" s="13"/>
      <c r="Y616" s="14"/>
      <c r="Z616" s="15"/>
    </row>
    <row r="617" spans="1:26" x14ac:dyDescent="0.25">
      <c r="A617" s="12"/>
      <c r="B617" s="12"/>
      <c r="C617" s="10"/>
      <c r="D617" s="10"/>
      <c r="E617" s="10"/>
      <c r="F617" s="10"/>
      <c r="G617" s="10"/>
      <c r="M617" s="13"/>
      <c r="N617" s="13"/>
      <c r="O617" s="13"/>
      <c r="P617" s="11"/>
      <c r="Q617" s="13"/>
      <c r="R617" s="13"/>
      <c r="S617" s="13"/>
      <c r="T617" s="13"/>
      <c r="U617" s="13"/>
      <c r="V617" s="13"/>
      <c r="Y617" s="14"/>
      <c r="Z617" s="15"/>
    </row>
    <row r="618" spans="1:26" x14ac:dyDescent="0.25">
      <c r="A618" s="12"/>
      <c r="B618" s="12"/>
      <c r="C618" s="10"/>
      <c r="D618" s="10"/>
      <c r="E618" s="10"/>
      <c r="F618" s="10"/>
      <c r="G618" s="10"/>
      <c r="M618" s="13"/>
      <c r="N618" s="13"/>
      <c r="O618" s="13"/>
      <c r="P618" s="11"/>
      <c r="Q618" s="13"/>
      <c r="R618" s="13"/>
      <c r="S618" s="13"/>
      <c r="T618" s="13"/>
      <c r="U618" s="13"/>
      <c r="V618" s="13"/>
      <c r="Y618" s="14"/>
      <c r="Z618" s="15"/>
    </row>
    <row r="619" spans="1:26" x14ac:dyDescent="0.25">
      <c r="A619" s="12"/>
      <c r="B619" s="12"/>
      <c r="C619" s="10"/>
      <c r="D619" s="10"/>
      <c r="E619" s="10"/>
      <c r="F619" s="10"/>
      <c r="G619" s="10"/>
      <c r="M619" s="13"/>
      <c r="N619" s="13"/>
      <c r="O619" s="13"/>
      <c r="P619" s="11"/>
      <c r="Q619" s="13"/>
      <c r="R619" s="13"/>
      <c r="S619" s="13"/>
      <c r="T619" s="13"/>
      <c r="U619" s="13"/>
      <c r="V619" s="13"/>
      <c r="Y619" s="14"/>
      <c r="Z619" s="15"/>
    </row>
    <row r="620" spans="1:26" x14ac:dyDescent="0.25">
      <c r="A620" s="12"/>
      <c r="B620" s="12"/>
      <c r="C620" s="10"/>
      <c r="D620" s="10"/>
      <c r="E620" s="10"/>
      <c r="F620" s="10"/>
      <c r="G620" s="10"/>
      <c r="M620" s="13"/>
      <c r="N620" s="13"/>
      <c r="O620" s="13"/>
      <c r="P620" s="11"/>
      <c r="Q620" s="13"/>
      <c r="R620" s="13"/>
      <c r="S620" s="13"/>
      <c r="T620" s="13"/>
      <c r="U620" s="13"/>
      <c r="V620" s="13"/>
      <c r="Y620" s="14"/>
      <c r="Z620" s="15"/>
    </row>
    <row r="621" spans="1:26" x14ac:dyDescent="0.25">
      <c r="A621" s="12"/>
      <c r="B621" s="12"/>
      <c r="C621" s="10"/>
      <c r="D621" s="10"/>
      <c r="E621" s="10"/>
      <c r="F621" s="10"/>
      <c r="G621" s="10"/>
      <c r="M621" s="13"/>
      <c r="N621" s="13"/>
      <c r="O621" s="13"/>
      <c r="P621" s="11"/>
      <c r="Q621" s="13"/>
      <c r="R621" s="13"/>
      <c r="S621" s="13"/>
      <c r="T621" s="13"/>
      <c r="U621" s="13"/>
      <c r="V621" s="13"/>
      <c r="Y621" s="14"/>
      <c r="Z621" s="15"/>
    </row>
    <row r="622" spans="1:26" x14ac:dyDescent="0.25">
      <c r="A622" s="12"/>
      <c r="B622" s="12"/>
      <c r="C622" s="10"/>
      <c r="D622" s="10"/>
      <c r="E622" s="10"/>
      <c r="F622" s="10"/>
      <c r="G622" s="10"/>
      <c r="M622" s="13"/>
      <c r="N622" s="13"/>
      <c r="O622" s="13"/>
      <c r="P622" s="11"/>
      <c r="Q622" s="13"/>
      <c r="R622" s="13"/>
      <c r="S622" s="13"/>
      <c r="T622" s="13"/>
      <c r="U622" s="13"/>
      <c r="V622" s="13"/>
      <c r="Y622" s="14"/>
      <c r="Z622" s="15"/>
    </row>
    <row r="623" spans="1:26" x14ac:dyDescent="0.25">
      <c r="A623" s="12"/>
      <c r="B623" s="12"/>
      <c r="C623" s="10"/>
      <c r="D623" s="10"/>
      <c r="E623" s="10"/>
      <c r="F623" s="10"/>
      <c r="G623" s="10"/>
      <c r="M623" s="13"/>
      <c r="N623" s="13"/>
      <c r="O623" s="13"/>
      <c r="P623" s="11"/>
      <c r="Q623" s="13"/>
      <c r="R623" s="13"/>
      <c r="S623" s="13"/>
      <c r="T623" s="13"/>
      <c r="U623" s="13"/>
      <c r="V623" s="13"/>
      <c r="Y623" s="14"/>
      <c r="Z623" s="15"/>
    </row>
    <row r="624" spans="1:26" x14ac:dyDescent="0.25">
      <c r="A624" s="12"/>
      <c r="B624" s="12"/>
      <c r="C624" s="10"/>
      <c r="D624" s="10"/>
      <c r="E624" s="10"/>
      <c r="F624" s="10"/>
      <c r="G624" s="10"/>
      <c r="J624" s="13"/>
      <c r="K624" s="13"/>
      <c r="L624" s="13"/>
      <c r="N624" s="13"/>
      <c r="O624" s="13"/>
      <c r="P624" s="11"/>
      <c r="Q624" s="13"/>
      <c r="R624" s="13"/>
      <c r="S624" s="13"/>
      <c r="T624" s="13"/>
      <c r="U624" s="13"/>
      <c r="V624" s="13"/>
      <c r="Y624" s="14"/>
      <c r="Z624" s="15"/>
    </row>
  </sheetData>
  <mergeCells count="1">
    <mergeCell ref="A1:V1"/>
  </mergeCells>
  <phoneticPr fontId="6" type="noConversion"/>
  <conditionalFormatting sqref="A624:Y624 A4:L5 I7:L7 A3:J13 A11:L15 A17:L623 A16:D16 F16:L16 N3:Y623">
    <cfRule type="expression" dxfId="242" priority="51">
      <formula>AND(#REF!&lt;&gt;"",MOD(ROW(), 2)=1)</formula>
    </cfRule>
    <cfRule type="expression" dxfId="241" priority="52">
      <formula>#REF!&lt;&gt;""</formula>
    </cfRule>
  </conditionalFormatting>
  <conditionalFormatting sqref="AH3:AH13">
    <cfRule type="expression" dxfId="240" priority="27">
      <formula>AND(#REF!&lt;&gt;"",MOD(ROW(), 2)=1)</formula>
    </cfRule>
    <cfRule type="expression" dxfId="239" priority="28">
      <formula>#REF!&lt;&gt;""</formula>
    </cfRule>
  </conditionalFormatting>
  <conditionalFormatting sqref="B6">
    <cfRule type="expression" dxfId="238" priority="25">
      <formula>AND(#REF!&lt;&gt;"",MOD(ROW(), 2)=1)</formula>
    </cfRule>
    <cfRule type="expression" dxfId="237" priority="26">
      <formula>#REF!&lt;&gt;""</formula>
    </cfRule>
  </conditionalFormatting>
  <conditionalFormatting sqref="C6:L6 N6:P6">
    <cfRule type="expression" dxfId="236" priority="17">
      <formula>AND(#REF!&lt;&gt;"",MOD(ROW(), 2)=1)</formula>
    </cfRule>
    <cfRule type="expression" dxfId="235" priority="18">
      <formula>#REF!&lt;&gt;""</formula>
    </cfRule>
  </conditionalFormatting>
  <conditionalFormatting sqref="B8:G8 N8:P8 I8:L8">
    <cfRule type="expression" dxfId="234" priority="15">
      <formula>AND(#REF!&lt;&gt;"",MOD(ROW(), 2)=1)</formula>
    </cfRule>
    <cfRule type="expression" dxfId="233" priority="16">
      <formula>#REF!&lt;&gt;""</formula>
    </cfRule>
  </conditionalFormatting>
  <conditionalFormatting sqref="C9:G9 N9:P9 I9:L9">
    <cfRule type="expression" dxfId="232" priority="13">
      <formula>AND(#REF!&lt;&gt;"",MOD(ROW(), 2)=1)</formula>
    </cfRule>
    <cfRule type="expression" dxfId="231" priority="14">
      <formula>#REF!&lt;&gt;""</formula>
    </cfRule>
  </conditionalFormatting>
  <conditionalFormatting sqref="H7">
    <cfRule type="expression" dxfId="230" priority="11">
      <formula>AND(#REF!&lt;&gt;"",MOD(ROW(), 2)=1)</formula>
    </cfRule>
    <cfRule type="expression" dxfId="229" priority="12">
      <formula>#REF!&lt;&gt;""</formula>
    </cfRule>
  </conditionalFormatting>
  <conditionalFormatting sqref="H8">
    <cfRule type="expression" dxfId="228" priority="9">
      <formula>AND(#REF!&lt;&gt;"",MOD(ROW(), 2)=1)</formula>
    </cfRule>
    <cfRule type="expression" dxfId="227" priority="10">
      <formula>#REF!&lt;&gt;""</formula>
    </cfRule>
  </conditionalFormatting>
  <conditionalFormatting sqref="H9:H11">
    <cfRule type="expression" dxfId="226" priority="7">
      <formula>AND(#REF!&lt;&gt;"",MOD(ROW(), 2)=1)</formula>
    </cfRule>
    <cfRule type="expression" dxfId="225" priority="8">
      <formula>#REF!&lt;&gt;""</formula>
    </cfRule>
  </conditionalFormatting>
  <conditionalFormatting sqref="AG3:AG13">
    <cfRule type="expression" dxfId="224" priority="5">
      <formula>AND(#REF!&lt;&gt;"",MOD(ROW(), 2)=1)</formula>
    </cfRule>
    <cfRule type="expression" dxfId="223" priority="6">
      <formula>#REF!&lt;&gt;""</formula>
    </cfRule>
  </conditionalFormatting>
  <conditionalFormatting sqref="K10:L10">
    <cfRule type="expression" dxfId="222" priority="3">
      <formula>AND(#REF!&lt;&gt;"",MOD(ROW(), 2)=1)</formula>
    </cfRule>
    <cfRule type="expression" dxfId="221" priority="4">
      <formula>#REF!&lt;&gt;""</formula>
    </cfRule>
  </conditionalFormatting>
  <conditionalFormatting sqref="H12:H15">
    <cfRule type="expression" dxfId="220" priority="1">
      <formula>AND(#REF!&lt;&gt;"",MOD(ROW(), 2)=1)</formula>
    </cfRule>
    <cfRule type="expression" dxfId="219" priority="2">
      <formula>#REF!&lt;&gt;""</formula>
    </cfRule>
  </conditionalFormatting>
  <dataValidations count="2">
    <dataValidation type="list" allowBlank="1" showInputMessage="1" showErrorMessage="1" sqref="H16:H1048576 V3:V13" xr:uid="{00000000-0002-0000-0300-000000000000}">
      <formula1>"Excluir"</formula1>
    </dataValidation>
    <dataValidation type="list" allowBlank="1" showInputMessage="1" showErrorMessage="1" sqref="H3:H15" xr:uid="{00000000-0002-0000-0300-000001000000}">
      <formula1>"FÊMEA,MACHO"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300-000003000000}">
          <x14:formula1>
            <xm:f>'Status Animal'!$B$3:$B$1048576</xm:f>
          </x14:formula1>
          <xm:sqref>D3:D13</xm:sqref>
        </x14:dataValidation>
        <x14:dataValidation type="list" allowBlank="1" showInputMessage="1" showErrorMessage="1" xr:uid="{00000000-0002-0000-0300-000004000000}">
          <x14:formula1>
            <xm:f>Pastos!$B$3:$B$1048576</xm:f>
          </x14:formula1>
          <xm:sqref>F3:F13</xm:sqref>
        </x14:dataValidation>
        <x14:dataValidation type="list" allowBlank="1" showInputMessage="1" showErrorMessage="1" errorTitle="Data inválida!" error="Data digitada inválida." xr:uid="{00000000-0002-0000-0300-000005000000}">
          <x14:formula1>
            <xm:f>Raça!$B$3:$B$1048576</xm:f>
          </x14:formula1>
          <xm:sqref>I3:I13</xm:sqref>
        </x14:dataValidation>
        <x14:dataValidation type="list" allowBlank="1" showInputMessage="1" showErrorMessage="1" xr:uid="{00000000-0002-0000-0300-000006000000}">
          <x14:formula1>
            <xm:f>'Causa Da Morte'!$B$3:$B$100000</xm:f>
          </x14:formula1>
          <xm:sqref>T3:T13</xm:sqref>
        </x14:dataValidation>
        <x14:dataValidation type="list" allowBlank="1" showInputMessage="1" showErrorMessage="1" xr:uid="{00000000-0002-0000-0300-000007000000}">
          <x14:formula1>
            <xm:f>'Propriedades Rurais'!$B$3:$B$1048576</xm:f>
          </x14:formula1>
          <xm:sqref>E3:E13</xm:sqref>
        </x14:dataValidation>
        <x14:dataValidation type="list" allowBlank="1" showInputMessage="1" showErrorMessage="1" xr:uid="{00000000-0002-0000-0300-000008000000}">
          <x14:formula1>
            <xm:f>Origem!$B$3:$B$1048576</xm:f>
          </x14:formula1>
          <xm:sqref>J3:J13</xm:sqref>
        </x14:dataValidation>
        <x14:dataValidation type="list" allowBlank="1" showInputMessage="1" showErrorMessage="1" xr:uid="{00000000-0002-0000-0300-000002000000}">
          <x14:formula1>
            <xm:f>'Tipo Animal'!$B$3:$B$1048576</xm:f>
          </x14:formula1>
          <xm:sqref>G3:G13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9F4DF-7953-4EB8-AE52-6EE8CDE0715E}">
  <sheetPr codeName="Planilha18">
    <tabColor rgb="FF00B050"/>
  </sheetPr>
  <dimension ref="A1:M11"/>
  <sheetViews>
    <sheetView zoomScaleNormal="100" workbookViewId="0">
      <selection activeCell="A3" sqref="A3"/>
    </sheetView>
  </sheetViews>
  <sheetFormatPr defaultColWidth="0" defaultRowHeight="15" x14ac:dyDescent="0.25"/>
  <cols>
    <col min="1" max="1" width="7.42578125" bestFit="1" customWidth="1"/>
    <col min="2" max="2" width="23.7109375" bestFit="1" customWidth="1"/>
    <col min="3" max="3" width="15" bestFit="1" customWidth="1"/>
    <col min="4" max="4" width="33.28515625" bestFit="1" customWidth="1"/>
    <col min="5" max="5" width="8" bestFit="1" customWidth="1"/>
    <col min="6" max="6" width="11.7109375" bestFit="1" customWidth="1"/>
    <col min="7" max="7" width="12.28515625" bestFit="1" customWidth="1"/>
    <col min="8" max="8" width="9" bestFit="1" customWidth="1"/>
    <col min="9" max="9" width="13.85546875" bestFit="1" customWidth="1"/>
    <col min="10" max="10" width="10" bestFit="1" customWidth="1"/>
    <col min="11" max="11" width="11.85546875" bestFit="1" customWidth="1"/>
    <col min="12" max="12" width="29.42578125" bestFit="1" customWidth="1"/>
    <col min="13" max="13" width="9.85546875" bestFit="1" customWidth="1"/>
    <col min="14" max="16384" width="4.85546875" hidden="1"/>
  </cols>
  <sheetData>
    <row r="1" spans="1:13" ht="26.25" x14ac:dyDescent="0.25">
      <c r="A1" s="29" t="s">
        <v>396</v>
      </c>
      <c r="B1" s="30"/>
      <c r="C1" s="33"/>
      <c r="D1" s="31"/>
      <c r="E1" s="31"/>
      <c r="F1" s="31"/>
      <c r="G1" s="31"/>
      <c r="H1" s="31"/>
      <c r="I1" s="31"/>
      <c r="J1" s="31"/>
      <c r="K1" s="31"/>
      <c r="L1" s="31"/>
      <c r="M1" s="32"/>
    </row>
    <row r="2" spans="1:13" x14ac:dyDescent="0.25">
      <c r="A2" s="22" t="s">
        <v>1</v>
      </c>
      <c r="B2" s="38" t="s">
        <v>386</v>
      </c>
      <c r="C2" s="38" t="s">
        <v>387</v>
      </c>
      <c r="D2" s="38" t="s">
        <v>401</v>
      </c>
      <c r="E2" s="38" t="s">
        <v>388</v>
      </c>
      <c r="F2" s="38" t="s">
        <v>389</v>
      </c>
      <c r="G2" s="38" t="s">
        <v>390</v>
      </c>
      <c r="H2" s="38" t="s">
        <v>391</v>
      </c>
      <c r="I2" s="38" t="s">
        <v>392</v>
      </c>
      <c r="J2" s="38" t="s">
        <v>393</v>
      </c>
      <c r="K2" s="38" t="s">
        <v>394</v>
      </c>
      <c r="L2" s="38" t="s">
        <v>379</v>
      </c>
      <c r="M2" s="37" t="s">
        <v>2</v>
      </c>
    </row>
    <row r="3" spans="1:13" s="1" customFormat="1" x14ac:dyDescent="0.25">
      <c r="A3" s="12">
        <v>1</v>
      </c>
      <c r="B3" s="1" t="s">
        <v>403</v>
      </c>
      <c r="C3" s="1" t="s">
        <v>404</v>
      </c>
      <c r="D3" s="1" t="s">
        <v>405</v>
      </c>
      <c r="E3" s="1" t="s">
        <v>406</v>
      </c>
      <c r="F3" s="1" t="s">
        <v>407</v>
      </c>
      <c r="G3" s="1" t="s">
        <v>408</v>
      </c>
      <c r="H3" s="1" t="s">
        <v>409</v>
      </c>
      <c r="I3" s="1" t="s">
        <v>408</v>
      </c>
      <c r="J3" s="1" t="s">
        <v>404</v>
      </c>
      <c r="K3" s="1" t="s">
        <v>404</v>
      </c>
      <c r="L3" s="1" t="s">
        <v>410</v>
      </c>
      <c r="M3" s="13"/>
    </row>
    <row r="4" spans="1:13" x14ac:dyDescent="0.25">
      <c r="A4" s="12"/>
      <c r="M4" s="13"/>
    </row>
    <row r="5" spans="1:13" x14ac:dyDescent="0.25">
      <c r="A5" s="12"/>
    </row>
    <row r="6" spans="1:13" x14ac:dyDescent="0.25">
      <c r="A6" s="12"/>
    </row>
    <row r="7" spans="1:13" x14ac:dyDescent="0.25">
      <c r="A7" s="12"/>
    </row>
    <row r="8" spans="1:13" x14ac:dyDescent="0.25">
      <c r="A8" s="12"/>
    </row>
    <row r="9" spans="1:13" x14ac:dyDescent="0.25">
      <c r="A9" s="12"/>
    </row>
    <row r="10" spans="1:13" x14ac:dyDescent="0.25">
      <c r="A10" s="12"/>
    </row>
    <row r="11" spans="1:13" x14ac:dyDescent="0.25">
      <c r="A11" s="12"/>
    </row>
  </sheetData>
  <conditionalFormatting sqref="A3">
    <cfRule type="expression" dxfId="182" priority="7">
      <formula>AND(#REF!&lt;&gt;"",MOD(ROW(), 2)=1)</formula>
    </cfRule>
    <cfRule type="expression" dxfId="181" priority="8">
      <formula>#REF!&lt;&gt;""</formula>
    </cfRule>
  </conditionalFormatting>
  <conditionalFormatting sqref="M3">
    <cfRule type="expression" dxfId="180" priority="3">
      <formula>AND(#REF!&lt;&gt;"",MOD(ROW(), 2)=1)</formula>
    </cfRule>
    <cfRule type="expression" dxfId="179" priority="4">
      <formula>#REF!&lt;&gt;""</formula>
    </cfRule>
  </conditionalFormatting>
  <conditionalFormatting sqref="M4">
    <cfRule type="expression" dxfId="178" priority="1">
      <formula>AND(#REF!&lt;&gt;"",MOD(ROW(), 2)=1)</formula>
    </cfRule>
    <cfRule type="expression" dxfId="177" priority="2">
      <formula>#REF!&lt;&gt;""</formula>
    </cfRule>
  </conditionalFormatting>
  <dataValidations count="1">
    <dataValidation type="list" allowBlank="1" showInputMessage="1" showErrorMessage="1" sqref="M3" xr:uid="{26FA5248-DBE6-484E-AE1F-F55217B09827}">
      <formula1>"Excluir"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161EB-D2D0-4F3E-8C4E-21DDE493BC43}">
  <sheetPr codeName="Planilha19">
    <tabColor rgb="FF00B050"/>
  </sheetPr>
  <dimension ref="A1:M4"/>
  <sheetViews>
    <sheetView workbookViewId="0">
      <selection activeCell="A3" sqref="A3"/>
    </sheetView>
  </sheetViews>
  <sheetFormatPr defaultColWidth="0" defaultRowHeight="15" x14ac:dyDescent="0.25"/>
  <cols>
    <col min="1" max="1" width="7.42578125" bestFit="1" customWidth="1"/>
    <col min="2" max="2" width="23.7109375" bestFit="1" customWidth="1"/>
    <col min="3" max="3" width="15" bestFit="1" customWidth="1"/>
    <col min="4" max="4" width="33.28515625" bestFit="1" customWidth="1"/>
    <col min="5" max="5" width="8" bestFit="1" customWidth="1"/>
    <col min="6" max="6" width="11.7109375" bestFit="1" customWidth="1"/>
    <col min="7" max="7" width="12.28515625" bestFit="1" customWidth="1"/>
    <col min="8" max="8" width="9" bestFit="1" customWidth="1"/>
    <col min="9" max="9" width="13.85546875" bestFit="1" customWidth="1"/>
    <col min="10" max="10" width="10" bestFit="1" customWidth="1"/>
    <col min="11" max="11" width="11.85546875" bestFit="1" customWidth="1"/>
    <col min="12" max="12" width="16.7109375" bestFit="1" customWidth="1"/>
    <col min="13" max="13" width="9.85546875" bestFit="1" customWidth="1"/>
    <col min="14" max="16384" width="9.140625" hidden="1"/>
  </cols>
  <sheetData>
    <row r="1" spans="1:13" ht="26.25" x14ac:dyDescent="0.25">
      <c r="A1" s="29" t="s">
        <v>385</v>
      </c>
      <c r="B1" s="30"/>
      <c r="C1" s="33"/>
      <c r="D1" s="31"/>
      <c r="E1" s="31"/>
      <c r="F1" s="31"/>
      <c r="G1" s="31"/>
      <c r="H1" s="31"/>
      <c r="I1" s="31"/>
      <c r="J1" s="31"/>
      <c r="K1" s="31"/>
      <c r="L1" s="31"/>
      <c r="M1" s="32"/>
    </row>
    <row r="2" spans="1:13" x14ac:dyDescent="0.25">
      <c r="A2" s="37" t="s">
        <v>1</v>
      </c>
      <c r="B2" s="38" t="s">
        <v>386</v>
      </c>
      <c r="C2" s="38" t="s">
        <v>387</v>
      </c>
      <c r="D2" s="38" t="s">
        <v>401</v>
      </c>
      <c r="E2" s="38" t="s">
        <v>388</v>
      </c>
      <c r="F2" s="38" t="s">
        <v>389</v>
      </c>
      <c r="G2" s="38" t="s">
        <v>390</v>
      </c>
      <c r="H2" s="38" t="s">
        <v>391</v>
      </c>
      <c r="I2" s="38" t="s">
        <v>392</v>
      </c>
      <c r="J2" s="38" t="s">
        <v>393</v>
      </c>
      <c r="K2" s="38" t="s">
        <v>394</v>
      </c>
      <c r="L2" s="38" t="s">
        <v>379</v>
      </c>
      <c r="M2" s="37" t="s">
        <v>2</v>
      </c>
    </row>
    <row r="3" spans="1:13" x14ac:dyDescent="0.25">
      <c r="A3" s="1">
        <v>1</v>
      </c>
      <c r="B3" s="1" t="s">
        <v>403</v>
      </c>
      <c r="C3" s="1" t="s">
        <v>436</v>
      </c>
      <c r="D3" s="1" t="s">
        <v>405</v>
      </c>
      <c r="E3" s="1" t="s">
        <v>406</v>
      </c>
      <c r="F3" s="1" t="s">
        <v>407</v>
      </c>
      <c r="G3" s="1" t="s">
        <v>408</v>
      </c>
      <c r="H3" s="1" t="s">
        <v>409</v>
      </c>
      <c r="I3" s="1" t="s">
        <v>408</v>
      </c>
      <c r="J3" s="1" t="s">
        <v>437</v>
      </c>
      <c r="K3" s="1" t="s">
        <v>436</v>
      </c>
      <c r="L3" s="1" t="s">
        <v>156</v>
      </c>
      <c r="M3" s="13"/>
    </row>
    <row r="4" spans="1:13" x14ac:dyDescent="0.25">
      <c r="M4" s="13"/>
    </row>
  </sheetData>
  <conditionalFormatting sqref="M3">
    <cfRule type="expression" dxfId="160" priority="1">
      <formula>AND(#REF!&lt;&gt;"",MOD(ROW(), 2)=1)</formula>
    </cfRule>
    <cfRule type="expression" dxfId="159" priority="2">
      <formula>#REF!&lt;&gt;""</formula>
    </cfRule>
  </conditionalFormatting>
  <dataValidations count="1">
    <dataValidation type="list" allowBlank="1" showInputMessage="1" showErrorMessage="1" sqref="M3" xr:uid="{935209F8-E119-43BE-9072-37E3DE5525B8}">
      <formula1>"Excluir"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64C0B-F050-4F21-B771-1A46A9F2068F}">
  <sheetPr codeName="Planilha21">
    <tabColor rgb="FF00B050"/>
  </sheetPr>
  <dimension ref="A1:K8"/>
  <sheetViews>
    <sheetView workbookViewId="0">
      <pane ySplit="2" topLeftCell="A3" activePane="bottomLeft" state="frozen"/>
      <selection activeCell="N24" sqref="C24:N24"/>
      <selection pane="bottomLeft" activeCell="B5" sqref="B5"/>
    </sheetView>
  </sheetViews>
  <sheetFormatPr defaultColWidth="0" defaultRowHeight="15" x14ac:dyDescent="0.25"/>
  <cols>
    <col min="1" max="1" width="7.42578125" bestFit="1" customWidth="1"/>
    <col min="2" max="2" width="13" bestFit="1" customWidth="1"/>
    <col min="3" max="3" width="15.7109375" bestFit="1" customWidth="1"/>
    <col min="4" max="4" width="17.5703125" bestFit="1" customWidth="1"/>
    <col min="5" max="5" width="14.28515625" bestFit="1" customWidth="1"/>
    <col min="6" max="6" width="16.42578125" bestFit="1" customWidth="1"/>
    <col min="7" max="7" width="20.140625" bestFit="1" customWidth="1"/>
    <col min="8" max="8" width="15.85546875" bestFit="1" customWidth="1"/>
    <col min="9" max="9" width="9.85546875" bestFit="1" customWidth="1"/>
    <col min="10" max="11" width="0" hidden="1" customWidth="1"/>
    <col min="12" max="16384" width="9.140625" hidden="1"/>
  </cols>
  <sheetData>
    <row r="1" spans="1:11" ht="26.25" x14ac:dyDescent="0.25">
      <c r="A1" s="29" t="s">
        <v>31</v>
      </c>
      <c r="B1" s="30"/>
      <c r="C1" s="31"/>
      <c r="D1" s="31"/>
      <c r="E1" s="31"/>
      <c r="F1" s="31"/>
      <c r="G1" s="31"/>
      <c r="H1" s="31"/>
      <c r="I1" s="32"/>
    </row>
    <row r="2" spans="1:11" s="1" customFormat="1" x14ac:dyDescent="0.25">
      <c r="A2" s="37" t="s">
        <v>1</v>
      </c>
      <c r="B2" s="38" t="s">
        <v>43</v>
      </c>
      <c r="C2" s="38" t="s">
        <v>33</v>
      </c>
      <c r="D2" s="38" t="s">
        <v>372</v>
      </c>
      <c r="E2" s="38" t="s">
        <v>378</v>
      </c>
      <c r="F2" s="38" t="s">
        <v>376</v>
      </c>
      <c r="G2" s="38" t="s">
        <v>377</v>
      </c>
      <c r="H2" s="38" t="s">
        <v>379</v>
      </c>
      <c r="I2" s="37" t="s">
        <v>2</v>
      </c>
      <c r="J2" s="26" t="s">
        <v>441</v>
      </c>
      <c r="K2" s="26" t="s">
        <v>442</v>
      </c>
    </row>
    <row r="3" spans="1:11" s="1" customFormat="1" x14ac:dyDescent="0.25">
      <c r="A3" s="1">
        <v>1</v>
      </c>
      <c r="B3" s="1" t="s">
        <v>142</v>
      </c>
      <c r="C3" s="1" t="s">
        <v>403</v>
      </c>
      <c r="D3" s="1" t="s">
        <v>446</v>
      </c>
      <c r="E3" s="39">
        <v>10800</v>
      </c>
      <c r="F3" s="13">
        <v>45381</v>
      </c>
      <c r="G3" s="13">
        <v>45412</v>
      </c>
      <c r="H3" s="1" t="s">
        <v>444</v>
      </c>
      <c r="I3" s="13"/>
    </row>
    <row r="4" spans="1:11" x14ac:dyDescent="0.25">
      <c r="A4" s="1">
        <v>2</v>
      </c>
      <c r="B4" s="1" t="s">
        <v>155</v>
      </c>
      <c r="C4" s="1" t="s">
        <v>403</v>
      </c>
      <c r="D4" s="1" t="s">
        <v>545</v>
      </c>
      <c r="E4" s="39">
        <v>4500</v>
      </c>
      <c r="F4" s="13">
        <v>0</v>
      </c>
      <c r="G4" s="13"/>
      <c r="H4" s="1"/>
      <c r="I4" s="13"/>
      <c r="J4" s="1"/>
      <c r="K4" s="1"/>
    </row>
    <row r="5" spans="1:11" x14ac:dyDescent="0.25">
      <c r="A5" s="1">
        <v>3</v>
      </c>
      <c r="B5" s="1" t="s">
        <v>495</v>
      </c>
      <c r="C5" s="1" t="s">
        <v>403</v>
      </c>
      <c r="D5" s="1" t="s">
        <v>546</v>
      </c>
      <c r="E5" s="39">
        <v>180000</v>
      </c>
      <c r="F5" s="13">
        <v>0</v>
      </c>
      <c r="G5" s="13"/>
      <c r="H5" s="1"/>
      <c r="I5" s="13"/>
      <c r="J5" s="1"/>
      <c r="K5" s="1"/>
    </row>
    <row r="6" spans="1:11" x14ac:dyDescent="0.25">
      <c r="A6" s="1"/>
      <c r="B6" s="1"/>
      <c r="C6" s="1"/>
      <c r="D6" s="1"/>
      <c r="E6" s="39"/>
      <c r="F6" s="13"/>
      <c r="G6" s="13"/>
      <c r="H6" s="1"/>
      <c r="I6" s="13"/>
      <c r="J6" s="1"/>
      <c r="K6" s="1"/>
    </row>
    <row r="7" spans="1:11" x14ac:dyDescent="0.25">
      <c r="A7" s="1"/>
      <c r="B7" s="1"/>
      <c r="C7" s="1"/>
      <c r="D7" s="1"/>
      <c r="E7" s="39"/>
      <c r="F7" s="13"/>
      <c r="G7" s="13"/>
      <c r="H7" s="1"/>
      <c r="I7" s="13"/>
      <c r="J7" s="1"/>
      <c r="K7" s="1"/>
    </row>
    <row r="8" spans="1:11" x14ac:dyDescent="0.25">
      <c r="A8" s="1"/>
      <c r="B8" s="1"/>
      <c r="C8" s="1"/>
      <c r="D8" s="1"/>
      <c r="E8" s="39"/>
      <c r="F8" s="13"/>
      <c r="G8" s="13"/>
      <c r="H8" s="1"/>
      <c r="I8" s="13"/>
      <c r="J8" s="1"/>
      <c r="K8" s="1"/>
    </row>
  </sheetData>
  <conditionalFormatting sqref="I3:I5">
    <cfRule type="expression" dxfId="142" priority="1">
      <formula>AND(#REF!&lt;&gt;"",MOD(ROW(), 2)=1)</formula>
    </cfRule>
    <cfRule type="expression" dxfId="141" priority="2">
      <formula>#REF!&lt;&gt;""</formula>
    </cfRule>
  </conditionalFormatting>
  <dataValidations count="1">
    <dataValidation type="list" allowBlank="1" showInputMessage="1" showErrorMessage="1" sqref="I3:I5" xr:uid="{4E280356-C5EC-4EB3-9C76-257157490963}">
      <formula1>"Excluir"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CDB029-71CB-4153-967D-CD1D9152F4B3}">
          <x14:formula1>
            <xm:f>Fornecedores!$B$3:$B$1048576</xm:f>
          </x14:formula1>
          <xm:sqref>C3:C5</xm:sqref>
        </x14:dataValidation>
        <x14:dataValidation type="list" allowBlank="1" showInputMessage="1" showErrorMessage="1" xr:uid="{BE4F5F6F-1A65-47C4-8331-5A625FC2CF12}">
          <x14:formula1>
            <xm:f>'Tipo Despesa'!$B$3:$B$1048576</xm:f>
          </x14:formula1>
          <xm:sqref>B3:B5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E6E20-D26A-4578-895D-468ABDC5D1B9}">
  <sheetPr codeName="Planilha17">
    <tabColor rgb="FF00B050"/>
    <pageSetUpPr autoPageBreaks="0"/>
  </sheetPr>
  <dimension ref="A1:AA1023"/>
  <sheetViews>
    <sheetView zoomScaleNormal="100" workbookViewId="0">
      <selection activeCell="E1" sqref="E1"/>
    </sheetView>
  </sheetViews>
  <sheetFormatPr defaultColWidth="0" defaultRowHeight="15" x14ac:dyDescent="0.25"/>
  <cols>
    <col min="1" max="1" width="7.85546875" bestFit="1" customWidth="1"/>
    <col min="2" max="2" width="14.140625" bestFit="1" customWidth="1"/>
    <col min="3" max="3" width="11.140625" bestFit="1" customWidth="1"/>
    <col min="4" max="4" width="20.85546875" bestFit="1" customWidth="1"/>
    <col min="5" max="5" width="33.85546875" bestFit="1" customWidth="1"/>
    <col min="6" max="6" width="11.5703125" bestFit="1" customWidth="1"/>
    <col min="7" max="7" width="24.28515625" bestFit="1" customWidth="1"/>
    <col min="8" max="8" width="26.85546875" bestFit="1" customWidth="1"/>
    <col min="9" max="9" width="13.140625" bestFit="1" customWidth="1"/>
    <col min="10" max="10" width="10.7109375" bestFit="1" customWidth="1"/>
    <col min="11" max="11" width="16" bestFit="1" customWidth="1"/>
    <col min="12" max="12" width="19.140625" bestFit="1" customWidth="1"/>
    <col min="13" max="13" width="9.85546875" bestFit="1" customWidth="1"/>
    <col min="14" max="16" width="9.42578125" hidden="1" customWidth="1"/>
    <col min="17" max="26" width="9.140625" hidden="1"/>
    <col min="27" max="27" width="28.85546875" hidden="1" customWidth="1"/>
    <col min="28" max="16384" width="9.140625" hidden="1"/>
  </cols>
  <sheetData>
    <row r="1" spans="1:27" ht="26.25" x14ac:dyDescent="0.25">
      <c r="A1" s="29" t="s">
        <v>464</v>
      </c>
      <c r="B1" s="30"/>
      <c r="C1" s="31"/>
      <c r="D1" s="31"/>
      <c r="E1" s="31"/>
      <c r="F1" s="31"/>
      <c r="G1" s="31"/>
      <c r="H1" s="31"/>
      <c r="I1" s="31"/>
      <c r="J1" s="32"/>
      <c r="AA1" s="27" t="s">
        <v>359</v>
      </c>
    </row>
    <row r="2" spans="1:27" s="1" customFormat="1" ht="15.75" thickBot="1" x14ac:dyDescent="0.3">
      <c r="A2" s="37" t="s">
        <v>462</v>
      </c>
      <c r="B2" s="44" t="s">
        <v>172</v>
      </c>
      <c r="C2" s="44" t="s">
        <v>170</v>
      </c>
      <c r="D2" s="45" t="s">
        <v>63</v>
      </c>
      <c r="E2" s="44" t="s">
        <v>174</v>
      </c>
      <c r="F2" s="38" t="s">
        <v>7</v>
      </c>
      <c r="G2" s="38" t="s">
        <v>397</v>
      </c>
      <c r="H2" s="38" t="s">
        <v>45</v>
      </c>
      <c r="I2" s="38" t="s">
        <v>398</v>
      </c>
      <c r="J2" s="38" t="s">
        <v>171</v>
      </c>
      <c r="K2" s="38" t="s">
        <v>399</v>
      </c>
      <c r="L2" s="38" t="s">
        <v>379</v>
      </c>
      <c r="M2" s="37" t="s">
        <v>2</v>
      </c>
      <c r="N2" s="46" t="s">
        <v>452</v>
      </c>
      <c r="O2" s="46" t="s">
        <v>453</v>
      </c>
      <c r="P2" s="46" t="s">
        <v>454</v>
      </c>
    </row>
    <row r="3" spans="1:27" s="1" customFormat="1" x14ac:dyDescent="0.25">
      <c r="A3" s="1">
        <v>1</v>
      </c>
      <c r="B3" s="10">
        <v>2</v>
      </c>
      <c r="C3" s="10" t="s">
        <v>187</v>
      </c>
      <c r="D3" s="43" t="s">
        <v>65</v>
      </c>
      <c r="E3" s="10" t="s">
        <v>466</v>
      </c>
      <c r="F3" s="42" t="s">
        <v>451</v>
      </c>
      <c r="G3" s="43" t="s">
        <v>5</v>
      </c>
      <c r="H3" s="10" t="s">
        <v>148</v>
      </c>
      <c r="I3" s="10" t="s">
        <v>450</v>
      </c>
      <c r="J3" s="42">
        <v>45316</v>
      </c>
      <c r="K3" s="43">
        <v>2</v>
      </c>
      <c r="L3" s="43" t="s">
        <v>465</v>
      </c>
      <c r="M3" s="10"/>
      <c r="N3" s="10"/>
      <c r="O3" s="10"/>
      <c r="P3" s="10"/>
    </row>
    <row r="4" spans="1:27" x14ac:dyDescent="0.25">
      <c r="A4" s="1">
        <v>2</v>
      </c>
      <c r="B4" s="10">
        <v>1</v>
      </c>
      <c r="C4" s="42" t="s">
        <v>173</v>
      </c>
      <c r="D4" s="43" t="s">
        <v>65</v>
      </c>
      <c r="E4" s="10" t="s">
        <v>360</v>
      </c>
      <c r="F4" s="42" t="s">
        <v>438</v>
      </c>
      <c r="G4" s="43" t="s">
        <v>3</v>
      </c>
      <c r="H4" s="10" t="s">
        <v>147</v>
      </c>
      <c r="I4" s="10" t="s">
        <v>450</v>
      </c>
      <c r="J4" s="42">
        <v>45334</v>
      </c>
      <c r="K4" s="43">
        <v>2</v>
      </c>
      <c r="L4" s="43" t="s">
        <v>463</v>
      </c>
      <c r="M4" s="10"/>
      <c r="N4" s="10"/>
      <c r="O4" s="10"/>
      <c r="P4" s="10"/>
    </row>
    <row r="5" spans="1:27" x14ac:dyDescent="0.25">
      <c r="A5" s="1">
        <v>3</v>
      </c>
      <c r="B5" s="10">
        <v>2</v>
      </c>
      <c r="C5" s="42" t="s">
        <v>187</v>
      </c>
      <c r="D5" s="43" t="s">
        <v>65</v>
      </c>
      <c r="E5" s="10" t="s">
        <v>466</v>
      </c>
      <c r="F5" s="42" t="s">
        <v>438</v>
      </c>
      <c r="G5" s="43" t="s">
        <v>3</v>
      </c>
      <c r="H5" s="10" t="s">
        <v>148</v>
      </c>
      <c r="I5" s="10" t="s">
        <v>450</v>
      </c>
      <c r="J5" s="42">
        <v>45334</v>
      </c>
      <c r="K5" s="43">
        <v>2</v>
      </c>
      <c r="L5" s="43" t="s">
        <v>463</v>
      </c>
      <c r="M5" s="10"/>
      <c r="N5" s="10"/>
      <c r="O5" s="10"/>
      <c r="P5" s="10"/>
    </row>
    <row r="6" spans="1:27" x14ac:dyDescent="0.25">
      <c r="A6" s="1">
        <v>4</v>
      </c>
      <c r="B6" s="10">
        <v>25</v>
      </c>
      <c r="C6" s="42" t="s">
        <v>366</v>
      </c>
      <c r="D6" s="43" t="s">
        <v>65</v>
      </c>
      <c r="E6" s="10" t="s">
        <v>467</v>
      </c>
      <c r="F6" s="42" t="s">
        <v>438</v>
      </c>
      <c r="G6" s="43" t="s">
        <v>3</v>
      </c>
      <c r="H6" s="10" t="s">
        <v>149</v>
      </c>
      <c r="I6" s="10" t="s">
        <v>450</v>
      </c>
      <c r="J6" s="42">
        <v>45334</v>
      </c>
      <c r="K6" s="43">
        <v>2</v>
      </c>
      <c r="L6" s="43" t="s">
        <v>463</v>
      </c>
      <c r="M6" s="10"/>
      <c r="N6" s="10"/>
      <c r="O6" s="10"/>
      <c r="P6" s="10"/>
    </row>
    <row r="7" spans="1:27" x14ac:dyDescent="0.25">
      <c r="A7" s="1">
        <v>5</v>
      </c>
      <c r="B7" s="10">
        <v>25</v>
      </c>
      <c r="C7" s="42" t="s">
        <v>366</v>
      </c>
      <c r="D7" s="43" t="s">
        <v>65</v>
      </c>
      <c r="E7" s="10" t="s">
        <v>467</v>
      </c>
      <c r="F7" s="42" t="s">
        <v>451</v>
      </c>
      <c r="G7" s="43" t="s">
        <v>3</v>
      </c>
      <c r="H7" s="10" t="s">
        <v>148</v>
      </c>
      <c r="I7" s="10" t="s">
        <v>450</v>
      </c>
      <c r="J7" s="42">
        <v>45701</v>
      </c>
      <c r="K7" s="43">
        <v>5</v>
      </c>
      <c r="L7" s="43" t="s">
        <v>463</v>
      </c>
      <c r="M7" s="10"/>
      <c r="N7" s="10"/>
      <c r="O7" s="10"/>
      <c r="P7" s="10"/>
    </row>
    <row r="8" spans="1:27" x14ac:dyDescent="0.25">
      <c r="A8" s="1"/>
      <c r="B8" s="10"/>
      <c r="C8" s="42"/>
      <c r="D8" s="43"/>
      <c r="E8" s="10"/>
      <c r="F8" s="42"/>
      <c r="G8" s="43"/>
      <c r="H8" s="10"/>
      <c r="I8" s="10"/>
      <c r="J8" s="42"/>
      <c r="K8" s="43"/>
      <c r="L8" s="43"/>
      <c r="M8" s="10"/>
      <c r="N8" s="10"/>
      <c r="O8" s="10"/>
      <c r="P8" s="10"/>
    </row>
    <row r="9" spans="1:27" x14ac:dyDescent="0.25">
      <c r="A9" s="1"/>
      <c r="B9" s="10"/>
      <c r="C9" s="42"/>
      <c r="D9" s="43"/>
      <c r="E9" s="10"/>
      <c r="F9" s="42"/>
      <c r="G9" s="43"/>
      <c r="H9" s="10"/>
      <c r="I9" s="10"/>
      <c r="J9" s="42"/>
      <c r="K9" s="43"/>
      <c r="L9" s="43"/>
      <c r="M9" s="10"/>
      <c r="N9" s="10"/>
      <c r="O9" s="10"/>
      <c r="P9" s="10"/>
    </row>
    <row r="10" spans="1:27" x14ac:dyDescent="0.25">
      <c r="A10" s="1"/>
      <c r="B10" s="10"/>
      <c r="C10" s="42"/>
      <c r="D10" s="43"/>
      <c r="E10" s="10"/>
      <c r="F10" s="42"/>
      <c r="G10" s="43"/>
      <c r="H10" s="10"/>
      <c r="I10" s="10"/>
      <c r="J10" s="42"/>
      <c r="K10" s="43"/>
      <c r="L10" s="43"/>
      <c r="M10" s="10"/>
      <c r="N10" s="10"/>
      <c r="O10" s="10"/>
      <c r="P10" s="10"/>
    </row>
    <row r="11" spans="1:27" x14ac:dyDescent="0.25">
      <c r="A11" s="1"/>
      <c r="B11" s="10"/>
      <c r="C11" s="42"/>
      <c r="D11" s="43"/>
      <c r="E11" s="10"/>
      <c r="F11" s="42"/>
      <c r="G11" s="43"/>
      <c r="H11" s="10"/>
      <c r="I11" s="10"/>
      <c r="J11" s="42"/>
      <c r="K11" s="43"/>
      <c r="L11" s="43"/>
      <c r="M11" s="10"/>
      <c r="N11" s="10"/>
      <c r="O11" s="10"/>
      <c r="P11" s="10"/>
    </row>
    <row r="12" spans="1:27" x14ac:dyDescent="0.25">
      <c r="A12" s="1"/>
      <c r="B12" s="10"/>
      <c r="C12" s="42"/>
      <c r="D12" s="43"/>
      <c r="E12" s="10"/>
      <c r="F12" s="42"/>
      <c r="G12" s="43"/>
      <c r="H12" s="10"/>
      <c r="I12" s="10"/>
      <c r="J12" s="42"/>
      <c r="K12" s="43"/>
      <c r="L12" s="43"/>
      <c r="M12" s="10"/>
      <c r="N12" s="10"/>
      <c r="O12" s="10"/>
      <c r="P12" s="10"/>
    </row>
    <row r="13" spans="1:27" x14ac:dyDescent="0.25">
      <c r="A13" s="1"/>
      <c r="B13" s="10"/>
      <c r="C13" s="42"/>
      <c r="D13" s="43"/>
      <c r="E13" s="10"/>
      <c r="F13" s="42"/>
      <c r="G13" s="43"/>
      <c r="H13" s="10"/>
      <c r="I13" s="10"/>
      <c r="J13" s="42"/>
      <c r="K13" s="43"/>
      <c r="L13" s="43"/>
      <c r="M13" s="10"/>
      <c r="N13" s="10"/>
      <c r="O13" s="10"/>
      <c r="P13" s="10"/>
    </row>
    <row r="14" spans="1:27" x14ac:dyDescent="0.25">
      <c r="A14" s="1"/>
      <c r="B14" s="10"/>
      <c r="C14" s="42"/>
      <c r="D14" s="43"/>
      <c r="E14" s="10"/>
      <c r="F14" s="42"/>
      <c r="G14" s="43"/>
      <c r="H14" s="10"/>
      <c r="I14" s="10"/>
      <c r="J14" s="42"/>
      <c r="K14" s="43"/>
      <c r="L14" s="43"/>
      <c r="M14" s="10"/>
      <c r="N14" s="10"/>
      <c r="O14" s="10"/>
      <c r="P14" s="10"/>
    </row>
    <row r="15" spans="1:27" x14ac:dyDescent="0.25">
      <c r="A15" s="1"/>
      <c r="B15" s="10"/>
      <c r="C15" s="42"/>
      <c r="D15" s="43"/>
      <c r="E15" s="10"/>
      <c r="F15" s="42"/>
      <c r="G15" s="43"/>
      <c r="H15" s="10"/>
      <c r="I15" s="10"/>
      <c r="J15" s="42"/>
      <c r="K15" s="43"/>
      <c r="L15" s="43"/>
      <c r="M15" s="10"/>
      <c r="N15" s="10"/>
      <c r="O15" s="10"/>
      <c r="P15" s="10"/>
    </row>
    <row r="16" spans="1:27" x14ac:dyDescent="0.25">
      <c r="A16" s="1"/>
      <c r="B16" s="10"/>
      <c r="C16" s="42"/>
      <c r="D16" s="43"/>
      <c r="E16" s="10"/>
      <c r="F16" s="42"/>
      <c r="G16" s="43"/>
      <c r="H16" s="10"/>
      <c r="I16" s="10"/>
      <c r="J16" s="42"/>
      <c r="K16" s="43"/>
      <c r="L16" s="43"/>
      <c r="M16" s="10"/>
      <c r="N16" s="10"/>
      <c r="O16" s="10"/>
      <c r="P16" s="10"/>
    </row>
    <row r="17" spans="1:16" x14ac:dyDescent="0.25">
      <c r="A17" s="1"/>
      <c r="B17" s="10"/>
      <c r="C17" s="42"/>
      <c r="D17" s="43"/>
      <c r="E17" s="10"/>
      <c r="F17" s="42"/>
      <c r="G17" s="43"/>
      <c r="H17" s="10"/>
      <c r="I17" s="10"/>
      <c r="J17" s="42"/>
      <c r="K17" s="43"/>
      <c r="L17" s="43"/>
      <c r="M17" s="10"/>
      <c r="N17" s="10"/>
      <c r="O17" s="10"/>
      <c r="P17" s="10"/>
    </row>
    <row r="18" spans="1:16" x14ac:dyDescent="0.25">
      <c r="A18" s="1"/>
      <c r="B18" s="10"/>
      <c r="C18" s="42"/>
      <c r="D18" s="43"/>
      <c r="E18" s="10"/>
      <c r="F18" s="42"/>
      <c r="G18" s="43"/>
      <c r="H18" s="10"/>
      <c r="I18" s="10"/>
      <c r="J18" s="42"/>
      <c r="K18" s="43"/>
      <c r="L18" s="43"/>
      <c r="M18" s="10"/>
      <c r="N18" s="10"/>
      <c r="O18" s="10"/>
      <c r="P18" s="10"/>
    </row>
    <row r="19" spans="1:16" x14ac:dyDescent="0.25">
      <c r="A19" s="1"/>
      <c r="B19" s="10"/>
      <c r="C19" s="42"/>
      <c r="D19" s="43"/>
      <c r="E19" s="10"/>
      <c r="F19" s="42"/>
      <c r="G19" s="43"/>
      <c r="H19" s="10"/>
      <c r="I19" s="10"/>
      <c r="J19" s="42"/>
      <c r="K19" s="43"/>
      <c r="L19" s="43"/>
      <c r="M19" s="10"/>
      <c r="N19" s="10"/>
      <c r="O19" s="10"/>
      <c r="P19" s="10"/>
    </row>
    <row r="20" spans="1:16" x14ac:dyDescent="0.25">
      <c r="A20" s="1"/>
      <c r="B20" s="10"/>
      <c r="C20" s="42"/>
      <c r="D20" s="43"/>
      <c r="E20" s="10"/>
      <c r="F20" s="42"/>
      <c r="G20" s="43"/>
      <c r="H20" s="10"/>
      <c r="I20" s="10"/>
      <c r="J20" s="42"/>
      <c r="K20" s="43"/>
      <c r="L20" s="43"/>
      <c r="M20" s="10"/>
      <c r="N20" s="10"/>
      <c r="O20" s="10"/>
      <c r="P20" s="10"/>
    </row>
    <row r="21" spans="1:16" x14ac:dyDescent="0.25">
      <c r="A21" s="1"/>
      <c r="B21" s="10"/>
      <c r="C21" s="42"/>
      <c r="D21" s="43"/>
      <c r="E21" s="10"/>
      <c r="F21" s="42"/>
      <c r="G21" s="43"/>
      <c r="H21" s="10"/>
      <c r="I21" s="10"/>
      <c r="J21" s="42"/>
      <c r="K21" s="43"/>
      <c r="L21" s="43"/>
      <c r="M21" s="10"/>
      <c r="N21" s="10"/>
      <c r="O21" s="10"/>
      <c r="P21" s="10"/>
    </row>
    <row r="22" spans="1:16" x14ac:dyDescent="0.25">
      <c r="A22" s="1"/>
      <c r="B22" s="10"/>
      <c r="C22" s="42"/>
      <c r="D22" s="43"/>
      <c r="E22" s="10"/>
      <c r="F22" s="42"/>
      <c r="G22" s="43"/>
      <c r="H22" s="10"/>
      <c r="I22" s="10"/>
      <c r="J22" s="42"/>
      <c r="K22" s="43"/>
      <c r="L22" s="43"/>
      <c r="M22" s="10"/>
      <c r="N22" s="10"/>
      <c r="O22" s="10"/>
      <c r="P22" s="10"/>
    </row>
    <row r="23" spans="1:16" x14ac:dyDescent="0.25">
      <c r="A23" s="1"/>
      <c r="B23" s="10"/>
      <c r="C23" s="42"/>
      <c r="D23" s="43"/>
      <c r="E23" s="10"/>
      <c r="F23" s="42"/>
      <c r="G23" s="43"/>
      <c r="H23" s="10"/>
      <c r="I23" s="10"/>
      <c r="J23" s="42"/>
      <c r="K23" s="43"/>
      <c r="L23" s="43"/>
      <c r="M23" s="10"/>
      <c r="N23" s="10"/>
      <c r="O23" s="10"/>
      <c r="P23" s="10"/>
    </row>
    <row r="24" spans="1:16" x14ac:dyDescent="0.25">
      <c r="A24" s="1"/>
      <c r="B24" s="10"/>
      <c r="C24" s="42"/>
      <c r="D24" s="43"/>
      <c r="E24" s="10"/>
      <c r="F24" s="42"/>
      <c r="G24" s="43"/>
      <c r="H24" s="10"/>
      <c r="I24" s="10"/>
      <c r="J24" s="42"/>
      <c r="K24" s="43"/>
      <c r="L24" s="43"/>
      <c r="M24" s="10"/>
      <c r="N24" s="10"/>
      <c r="O24" s="10"/>
      <c r="P24" s="10"/>
    </row>
    <row r="25" spans="1:16" x14ac:dyDescent="0.25">
      <c r="A25" s="1"/>
      <c r="B25" s="10"/>
      <c r="C25" s="42"/>
      <c r="D25" s="43"/>
      <c r="E25" s="10"/>
      <c r="F25" s="42"/>
      <c r="G25" s="43"/>
      <c r="H25" s="10"/>
      <c r="I25" s="10"/>
      <c r="J25" s="42"/>
      <c r="K25" s="43"/>
      <c r="L25" s="43"/>
      <c r="M25" s="10"/>
      <c r="N25" s="10"/>
      <c r="O25" s="10"/>
      <c r="P25" s="10"/>
    </row>
    <row r="26" spans="1:16" x14ac:dyDescent="0.25">
      <c r="A26" s="1"/>
      <c r="B26" s="10"/>
      <c r="C26" s="42"/>
      <c r="D26" s="43"/>
      <c r="E26" s="10"/>
      <c r="F26" s="42"/>
      <c r="G26" s="43"/>
      <c r="H26" s="10"/>
      <c r="I26" s="10"/>
      <c r="J26" s="42"/>
      <c r="K26" s="43"/>
      <c r="L26" s="43"/>
      <c r="M26" s="10"/>
      <c r="N26" s="10"/>
      <c r="O26" s="10"/>
      <c r="P26" s="10"/>
    </row>
    <row r="27" spans="1:16" x14ac:dyDescent="0.25">
      <c r="A27" s="1"/>
      <c r="B27" s="10"/>
      <c r="C27" s="42"/>
      <c r="D27" s="43"/>
      <c r="E27" s="10"/>
      <c r="F27" s="42"/>
      <c r="G27" s="43"/>
      <c r="H27" s="10"/>
      <c r="I27" s="10"/>
      <c r="J27" s="42"/>
      <c r="K27" s="43"/>
      <c r="L27" s="43"/>
      <c r="M27" s="10"/>
      <c r="N27" s="10"/>
      <c r="O27" s="10"/>
      <c r="P27" s="10"/>
    </row>
    <row r="28" spans="1:16" x14ac:dyDescent="0.25">
      <c r="A28" s="1"/>
      <c r="B28" s="10"/>
      <c r="C28" s="42"/>
      <c r="D28" s="43"/>
      <c r="E28" s="10"/>
      <c r="F28" s="42"/>
      <c r="G28" s="43"/>
      <c r="H28" s="10"/>
      <c r="I28" s="10"/>
      <c r="J28" s="42"/>
      <c r="K28" s="43"/>
      <c r="L28" s="43"/>
      <c r="M28" s="10"/>
      <c r="N28" s="10"/>
      <c r="O28" s="10"/>
      <c r="P28" s="10"/>
    </row>
    <row r="29" spans="1:16" x14ac:dyDescent="0.25">
      <c r="A29" s="1"/>
      <c r="B29" s="10"/>
      <c r="C29" s="42"/>
      <c r="D29" s="43"/>
      <c r="E29" s="10"/>
      <c r="F29" s="42"/>
      <c r="G29" s="43"/>
      <c r="H29" s="10"/>
      <c r="I29" s="10"/>
      <c r="J29" s="42"/>
      <c r="K29" s="43"/>
      <c r="L29" s="43"/>
      <c r="M29" s="10"/>
      <c r="N29" s="10"/>
      <c r="O29" s="10"/>
      <c r="P29" s="10"/>
    </row>
    <row r="30" spans="1:16" x14ac:dyDescent="0.25">
      <c r="A30" s="1"/>
      <c r="B30" s="10"/>
      <c r="C30" s="42"/>
      <c r="D30" s="43"/>
      <c r="E30" s="10"/>
      <c r="F30" s="42"/>
      <c r="G30" s="43"/>
      <c r="H30" s="10"/>
      <c r="I30" s="10"/>
      <c r="J30" s="42"/>
      <c r="K30" s="43"/>
      <c r="L30" s="43"/>
      <c r="M30" s="10"/>
      <c r="N30" s="10"/>
      <c r="O30" s="10"/>
      <c r="P30" s="10"/>
    </row>
    <row r="31" spans="1:16" x14ac:dyDescent="0.25">
      <c r="A31" s="1"/>
      <c r="B31" s="10"/>
      <c r="C31" s="42"/>
      <c r="D31" s="43"/>
      <c r="E31" s="10"/>
      <c r="F31" s="42"/>
      <c r="G31" s="43"/>
      <c r="H31" s="10"/>
      <c r="I31" s="10"/>
      <c r="J31" s="42"/>
      <c r="K31" s="43"/>
      <c r="L31" s="43"/>
      <c r="M31" s="10"/>
      <c r="N31" s="10"/>
      <c r="O31" s="10"/>
      <c r="P31" s="10"/>
    </row>
    <row r="32" spans="1:16" x14ac:dyDescent="0.25">
      <c r="A32" s="1"/>
      <c r="B32" s="10"/>
      <c r="C32" s="42"/>
      <c r="D32" s="43"/>
      <c r="E32" s="10"/>
      <c r="F32" s="42"/>
      <c r="G32" s="43"/>
      <c r="H32" s="10"/>
      <c r="I32" s="10"/>
      <c r="J32" s="42"/>
      <c r="K32" s="43"/>
      <c r="L32" s="43"/>
      <c r="M32" s="10"/>
      <c r="N32" s="10"/>
      <c r="O32" s="10"/>
      <c r="P32" s="10"/>
    </row>
    <row r="33" spans="1:16" x14ac:dyDescent="0.25">
      <c r="A33" s="1"/>
      <c r="B33" s="10"/>
      <c r="C33" s="42"/>
      <c r="D33" s="43"/>
      <c r="E33" s="10"/>
      <c r="F33" s="42"/>
      <c r="G33" s="43"/>
      <c r="H33" s="10"/>
      <c r="I33" s="10"/>
      <c r="J33" s="42"/>
      <c r="K33" s="43"/>
      <c r="L33" s="43"/>
      <c r="M33" s="10"/>
      <c r="N33" s="10"/>
      <c r="O33" s="10"/>
      <c r="P33" s="10"/>
    </row>
    <row r="34" spans="1:16" x14ac:dyDescent="0.25">
      <c r="A34" s="1"/>
      <c r="B34" s="10"/>
      <c r="C34" s="42"/>
      <c r="D34" s="43"/>
      <c r="E34" s="10"/>
      <c r="F34" s="42"/>
      <c r="G34" s="43"/>
      <c r="H34" s="10"/>
      <c r="I34" s="10"/>
      <c r="J34" s="42"/>
      <c r="K34" s="43"/>
      <c r="L34" s="43"/>
      <c r="M34" s="10"/>
      <c r="N34" s="10"/>
      <c r="O34" s="10"/>
      <c r="P34" s="10"/>
    </row>
    <row r="35" spans="1:16" x14ac:dyDescent="0.25">
      <c r="A35" s="1"/>
      <c r="B35" s="10"/>
      <c r="C35" s="42"/>
      <c r="D35" s="43"/>
      <c r="E35" s="10"/>
      <c r="F35" s="42"/>
      <c r="G35" s="43"/>
      <c r="H35" s="10"/>
      <c r="I35" s="10"/>
      <c r="J35" s="42"/>
      <c r="K35" s="43"/>
      <c r="L35" s="43"/>
      <c r="M35" s="10"/>
      <c r="N35" s="10"/>
      <c r="O35" s="10"/>
      <c r="P35" s="10"/>
    </row>
    <row r="36" spans="1:16" x14ac:dyDescent="0.25">
      <c r="A36" s="1"/>
      <c r="B36" s="10"/>
      <c r="C36" s="42"/>
      <c r="D36" s="43"/>
      <c r="E36" s="10"/>
      <c r="F36" s="42"/>
      <c r="G36" s="43"/>
      <c r="H36" s="10"/>
      <c r="I36" s="10"/>
      <c r="J36" s="42"/>
      <c r="K36" s="43"/>
      <c r="L36" s="43"/>
      <c r="M36" s="10"/>
      <c r="N36" s="10"/>
      <c r="O36" s="10"/>
      <c r="P36" s="10"/>
    </row>
    <row r="37" spans="1:16" x14ac:dyDescent="0.25">
      <c r="A37" s="1"/>
      <c r="B37" s="10"/>
      <c r="C37" s="42"/>
      <c r="D37" s="43"/>
      <c r="E37" s="10"/>
      <c r="F37" s="42"/>
      <c r="G37" s="43"/>
      <c r="H37" s="10"/>
      <c r="I37" s="10"/>
      <c r="J37" s="42"/>
      <c r="K37" s="43"/>
      <c r="L37" s="43"/>
      <c r="M37" s="10"/>
      <c r="N37" s="10"/>
      <c r="O37" s="10"/>
      <c r="P37" s="10"/>
    </row>
    <row r="38" spans="1:16" x14ac:dyDescent="0.25">
      <c r="A38" s="1"/>
      <c r="B38" s="10"/>
      <c r="C38" s="42"/>
      <c r="D38" s="43"/>
      <c r="E38" s="10"/>
      <c r="F38" s="42"/>
      <c r="G38" s="43"/>
      <c r="H38" s="10"/>
      <c r="I38" s="10"/>
      <c r="J38" s="42"/>
      <c r="K38" s="43"/>
      <c r="L38" s="43"/>
      <c r="M38" s="10"/>
      <c r="N38" s="10"/>
      <c r="O38" s="10"/>
      <c r="P38" s="10"/>
    </row>
    <row r="39" spans="1:16" x14ac:dyDescent="0.25">
      <c r="A39" s="1"/>
      <c r="B39" s="10"/>
      <c r="C39" s="42"/>
      <c r="D39" s="43"/>
      <c r="E39" s="10"/>
      <c r="F39" s="42"/>
      <c r="G39" s="43"/>
      <c r="H39" s="10"/>
      <c r="I39" s="10"/>
      <c r="J39" s="42"/>
      <c r="K39" s="43"/>
      <c r="L39" s="43"/>
      <c r="M39" s="10"/>
      <c r="N39" s="10"/>
      <c r="O39" s="10"/>
      <c r="P39" s="10"/>
    </row>
    <row r="40" spans="1:16" x14ac:dyDescent="0.25">
      <c r="A40" s="1"/>
      <c r="B40" s="10"/>
      <c r="C40" s="42"/>
      <c r="D40" s="43"/>
      <c r="E40" s="10"/>
      <c r="F40" s="42"/>
      <c r="G40" s="43"/>
      <c r="H40" s="10"/>
      <c r="I40" s="10"/>
      <c r="J40" s="42"/>
      <c r="K40" s="43"/>
      <c r="L40" s="43"/>
      <c r="M40" s="10"/>
      <c r="N40" s="10"/>
      <c r="O40" s="10"/>
      <c r="P40" s="10"/>
    </row>
    <row r="41" spans="1:16" x14ac:dyDescent="0.25">
      <c r="A41" s="1"/>
      <c r="B41" s="10"/>
      <c r="C41" s="42"/>
      <c r="D41" s="43"/>
      <c r="E41" s="10"/>
      <c r="F41" s="42"/>
      <c r="G41" s="43"/>
      <c r="H41" s="10"/>
      <c r="I41" s="10"/>
      <c r="J41" s="42"/>
      <c r="K41" s="43"/>
      <c r="L41" s="43"/>
      <c r="M41" s="10"/>
      <c r="N41" s="10"/>
      <c r="O41" s="10"/>
      <c r="P41" s="10"/>
    </row>
    <row r="42" spans="1:16" x14ac:dyDescent="0.25">
      <c r="A42" s="1"/>
      <c r="B42" s="10"/>
      <c r="C42" s="42"/>
      <c r="D42" s="43"/>
      <c r="E42" s="10"/>
      <c r="F42" s="42"/>
      <c r="G42" s="43"/>
      <c r="H42" s="10"/>
      <c r="I42" s="10"/>
      <c r="J42" s="42"/>
      <c r="K42" s="43"/>
      <c r="L42" s="43"/>
      <c r="M42" s="10"/>
      <c r="N42" s="10"/>
      <c r="O42" s="10"/>
      <c r="P42" s="10"/>
    </row>
    <row r="43" spans="1:16" x14ac:dyDescent="0.25">
      <c r="A43" s="1"/>
      <c r="B43" s="10"/>
      <c r="C43" s="42"/>
      <c r="D43" s="43"/>
      <c r="E43" s="10"/>
      <c r="F43" s="42"/>
      <c r="G43" s="43"/>
      <c r="H43" s="10"/>
      <c r="I43" s="10"/>
      <c r="J43" s="42"/>
      <c r="K43" s="43"/>
      <c r="L43" s="43"/>
      <c r="M43" s="10"/>
      <c r="N43" s="10"/>
      <c r="O43" s="10"/>
      <c r="P43" s="10"/>
    </row>
    <row r="44" spans="1:16" x14ac:dyDescent="0.25">
      <c r="A44" s="1"/>
      <c r="B44" s="10"/>
      <c r="C44" s="42"/>
      <c r="D44" s="43"/>
      <c r="E44" s="10"/>
      <c r="F44" s="42"/>
      <c r="G44" s="43"/>
      <c r="H44" s="10"/>
      <c r="I44" s="10"/>
      <c r="J44" s="42"/>
      <c r="K44" s="43"/>
      <c r="L44" s="43"/>
      <c r="M44" s="10"/>
      <c r="N44" s="10"/>
      <c r="O44" s="10"/>
      <c r="P44" s="10"/>
    </row>
    <row r="45" spans="1:16" x14ac:dyDescent="0.25">
      <c r="A45" s="1"/>
      <c r="B45" s="10"/>
      <c r="C45" s="42"/>
      <c r="D45" s="43"/>
      <c r="E45" s="10"/>
      <c r="F45" s="42"/>
      <c r="G45" s="43"/>
      <c r="H45" s="10"/>
      <c r="I45" s="10"/>
      <c r="J45" s="42"/>
      <c r="K45" s="43"/>
      <c r="L45" s="43"/>
      <c r="M45" s="10"/>
      <c r="N45" s="10"/>
      <c r="O45" s="10"/>
      <c r="P45" s="10"/>
    </row>
    <row r="46" spans="1:16" x14ac:dyDescent="0.25">
      <c r="A46" s="1"/>
      <c r="B46" s="10"/>
      <c r="C46" s="42"/>
      <c r="D46" s="43"/>
      <c r="E46" s="10"/>
      <c r="F46" s="42"/>
      <c r="G46" s="43"/>
      <c r="H46" s="10"/>
      <c r="I46" s="10"/>
      <c r="J46" s="42"/>
      <c r="K46" s="43"/>
      <c r="L46" s="43"/>
      <c r="M46" s="10"/>
      <c r="N46" s="10"/>
      <c r="O46" s="10"/>
      <c r="P46" s="10"/>
    </row>
    <row r="47" spans="1:16" x14ac:dyDescent="0.25">
      <c r="A47" s="1"/>
      <c r="B47" s="10"/>
      <c r="C47" s="42"/>
      <c r="D47" s="43"/>
      <c r="E47" s="10"/>
      <c r="F47" s="42"/>
      <c r="G47" s="43"/>
      <c r="H47" s="10"/>
      <c r="I47" s="10"/>
      <c r="J47" s="42"/>
      <c r="K47" s="43"/>
      <c r="L47" s="43"/>
      <c r="M47" s="10"/>
      <c r="N47" s="10"/>
      <c r="O47" s="10"/>
      <c r="P47" s="10"/>
    </row>
    <row r="48" spans="1:16" x14ac:dyDescent="0.25">
      <c r="A48" s="1"/>
      <c r="B48" s="10"/>
      <c r="C48" s="42"/>
      <c r="D48" s="43"/>
      <c r="E48" s="10"/>
      <c r="F48" s="42"/>
      <c r="G48" s="43"/>
      <c r="H48" s="10"/>
      <c r="I48" s="10"/>
      <c r="J48" s="42"/>
      <c r="K48" s="43"/>
      <c r="L48" s="43"/>
      <c r="M48" s="10"/>
      <c r="N48" s="10"/>
      <c r="O48" s="10"/>
      <c r="P48" s="10"/>
    </row>
    <row r="49" spans="1:16" x14ac:dyDescent="0.25">
      <c r="A49" s="1"/>
      <c r="B49" s="10"/>
      <c r="C49" s="42"/>
      <c r="D49" s="43"/>
      <c r="E49" s="10"/>
      <c r="F49" s="42"/>
      <c r="G49" s="43"/>
      <c r="H49" s="10"/>
      <c r="I49" s="10"/>
      <c r="J49" s="42"/>
      <c r="K49" s="43"/>
      <c r="L49" s="43"/>
      <c r="M49" s="10"/>
      <c r="N49" s="10"/>
      <c r="O49" s="10"/>
      <c r="P49" s="10"/>
    </row>
    <row r="50" spans="1:16" x14ac:dyDescent="0.25">
      <c r="A50" s="1"/>
      <c r="B50" s="10"/>
      <c r="C50" s="42"/>
      <c r="D50" s="43"/>
      <c r="E50" s="10"/>
      <c r="F50" s="42"/>
      <c r="G50" s="43"/>
      <c r="H50" s="10"/>
      <c r="I50" s="10"/>
      <c r="J50" s="42"/>
      <c r="K50" s="43"/>
      <c r="L50" s="43"/>
      <c r="M50" s="10"/>
      <c r="N50" s="10"/>
      <c r="O50" s="10"/>
      <c r="P50" s="10"/>
    </row>
    <row r="51" spans="1:16" x14ac:dyDescent="0.25">
      <c r="A51" s="1"/>
      <c r="B51" s="10"/>
      <c r="C51" s="42"/>
      <c r="D51" s="43"/>
      <c r="E51" s="10"/>
      <c r="F51" s="42"/>
      <c r="G51" s="43"/>
      <c r="H51" s="10"/>
      <c r="I51" s="10"/>
      <c r="J51" s="42"/>
      <c r="K51" s="43"/>
      <c r="L51" s="43"/>
      <c r="M51" s="10"/>
      <c r="N51" s="10"/>
      <c r="O51" s="10"/>
      <c r="P51" s="10"/>
    </row>
    <row r="52" spans="1:16" x14ac:dyDescent="0.25">
      <c r="A52" s="1"/>
      <c r="B52" s="10"/>
      <c r="C52" s="42"/>
      <c r="D52" s="43"/>
      <c r="E52" s="10"/>
      <c r="F52" s="42"/>
      <c r="G52" s="43"/>
      <c r="H52" s="10"/>
      <c r="I52" s="10"/>
      <c r="J52" s="42"/>
      <c r="K52" s="43"/>
      <c r="L52" s="43"/>
      <c r="M52" s="10"/>
      <c r="N52" s="10"/>
      <c r="O52" s="10"/>
      <c r="P52" s="10"/>
    </row>
    <row r="53" spans="1:16" x14ac:dyDescent="0.25">
      <c r="A53" s="1"/>
      <c r="B53" s="10"/>
      <c r="C53" s="42"/>
      <c r="D53" s="43"/>
      <c r="E53" s="10"/>
      <c r="F53" s="42"/>
      <c r="G53" s="43"/>
      <c r="H53" s="10"/>
      <c r="I53" s="10"/>
      <c r="J53" s="42"/>
      <c r="K53" s="43"/>
      <c r="L53" s="43"/>
      <c r="M53" s="10"/>
      <c r="N53" s="10"/>
      <c r="O53" s="10"/>
      <c r="P53" s="10"/>
    </row>
    <row r="54" spans="1:16" x14ac:dyDescent="0.25">
      <c r="A54" s="1"/>
      <c r="B54" s="10"/>
      <c r="C54" s="42"/>
      <c r="D54" s="43"/>
      <c r="E54" s="10"/>
      <c r="F54" s="42"/>
      <c r="G54" s="43"/>
      <c r="H54" s="10"/>
      <c r="I54" s="10"/>
      <c r="J54" s="42"/>
      <c r="K54" s="43"/>
      <c r="L54" s="43"/>
      <c r="M54" s="10"/>
      <c r="N54" s="10"/>
      <c r="O54" s="10"/>
      <c r="P54" s="10"/>
    </row>
    <row r="55" spans="1:16" x14ac:dyDescent="0.25">
      <c r="A55" s="1"/>
      <c r="B55" s="10"/>
      <c r="C55" s="42"/>
      <c r="D55" s="43"/>
      <c r="E55" s="10"/>
      <c r="F55" s="42"/>
      <c r="G55" s="43"/>
      <c r="H55" s="10"/>
      <c r="I55" s="10"/>
      <c r="J55" s="42"/>
      <c r="K55" s="43"/>
      <c r="L55" s="43"/>
      <c r="M55" s="10"/>
      <c r="N55" s="10"/>
      <c r="O55" s="10"/>
      <c r="P55" s="10"/>
    </row>
    <row r="56" spans="1:16" x14ac:dyDescent="0.25">
      <c r="A56" s="1"/>
      <c r="B56" s="10"/>
      <c r="C56" s="42"/>
      <c r="D56" s="43"/>
      <c r="E56" s="10"/>
      <c r="F56" s="42"/>
      <c r="G56" s="43"/>
      <c r="H56" s="10"/>
      <c r="I56" s="10"/>
      <c r="J56" s="42"/>
      <c r="K56" s="43"/>
      <c r="L56" s="43"/>
      <c r="M56" s="10"/>
      <c r="N56" s="10"/>
      <c r="O56" s="10"/>
      <c r="P56" s="10"/>
    </row>
    <row r="57" spans="1:16" x14ac:dyDescent="0.25">
      <c r="A57" s="1"/>
      <c r="B57" s="10"/>
      <c r="C57" s="42"/>
      <c r="D57" s="43"/>
      <c r="E57" s="10"/>
      <c r="F57" s="42"/>
      <c r="G57" s="43"/>
      <c r="H57" s="10"/>
      <c r="I57" s="10"/>
      <c r="J57" s="42"/>
      <c r="K57" s="43"/>
      <c r="L57" s="43"/>
      <c r="M57" s="10"/>
      <c r="N57" s="10"/>
      <c r="O57" s="10"/>
      <c r="P57" s="10"/>
    </row>
    <row r="58" spans="1:16" x14ac:dyDescent="0.25">
      <c r="A58" s="1"/>
      <c r="B58" s="10"/>
      <c r="C58" s="42"/>
      <c r="D58" s="43"/>
      <c r="E58" s="10"/>
      <c r="F58" s="42"/>
      <c r="G58" s="43"/>
      <c r="H58" s="10"/>
      <c r="I58" s="10"/>
      <c r="J58" s="42"/>
      <c r="K58" s="43"/>
      <c r="L58" s="43"/>
      <c r="M58" s="10"/>
      <c r="N58" s="10"/>
      <c r="O58" s="10"/>
      <c r="P58" s="10"/>
    </row>
    <row r="59" spans="1:16" x14ac:dyDescent="0.25">
      <c r="A59" s="1"/>
      <c r="B59" s="10"/>
      <c r="C59" s="42"/>
      <c r="D59" s="43"/>
      <c r="E59" s="10"/>
      <c r="F59" s="42"/>
      <c r="G59" s="43"/>
      <c r="H59" s="10"/>
      <c r="I59" s="10"/>
      <c r="J59" s="42"/>
      <c r="K59" s="43"/>
      <c r="L59" s="43"/>
      <c r="M59" s="10"/>
      <c r="N59" s="10"/>
      <c r="O59" s="10"/>
      <c r="P59" s="10"/>
    </row>
    <row r="60" spans="1:16" x14ac:dyDescent="0.25">
      <c r="A60" s="1"/>
      <c r="B60" s="10"/>
      <c r="C60" s="42"/>
      <c r="D60" s="43"/>
      <c r="E60" s="10"/>
      <c r="F60" s="42"/>
      <c r="G60" s="43"/>
      <c r="H60" s="10"/>
      <c r="I60" s="10"/>
      <c r="J60" s="42"/>
      <c r="K60" s="43"/>
      <c r="L60" s="43"/>
      <c r="M60" s="10"/>
      <c r="N60" s="10"/>
      <c r="O60" s="10"/>
      <c r="P60" s="10"/>
    </row>
    <row r="61" spans="1:16" x14ac:dyDescent="0.25">
      <c r="A61" s="1"/>
      <c r="B61" s="10"/>
      <c r="C61" s="42"/>
      <c r="D61" s="43"/>
      <c r="E61" s="10"/>
      <c r="F61" s="42"/>
      <c r="G61" s="43"/>
      <c r="H61" s="10"/>
      <c r="I61" s="10"/>
      <c r="J61" s="42"/>
      <c r="K61" s="43"/>
      <c r="L61" s="43"/>
      <c r="M61" s="10"/>
      <c r="N61" s="10"/>
      <c r="O61" s="10"/>
      <c r="P61" s="10"/>
    </row>
    <row r="62" spans="1:16" x14ac:dyDescent="0.25">
      <c r="A62" s="1"/>
      <c r="B62" s="10"/>
      <c r="C62" s="42"/>
      <c r="D62" s="43"/>
      <c r="E62" s="10"/>
      <c r="F62" s="42"/>
      <c r="G62" s="43"/>
      <c r="H62" s="10"/>
      <c r="I62" s="10"/>
      <c r="J62" s="42"/>
      <c r="K62" s="43"/>
      <c r="L62" s="43"/>
      <c r="M62" s="10"/>
      <c r="N62" s="10"/>
      <c r="O62" s="10"/>
      <c r="P62" s="10"/>
    </row>
    <row r="63" spans="1:16" x14ac:dyDescent="0.25">
      <c r="A63" s="1"/>
      <c r="B63" s="10"/>
      <c r="C63" s="42"/>
      <c r="D63" s="43"/>
      <c r="E63" s="10"/>
      <c r="F63" s="42"/>
      <c r="G63" s="43"/>
      <c r="H63" s="10"/>
      <c r="I63" s="10"/>
      <c r="J63" s="42"/>
      <c r="K63" s="43"/>
      <c r="L63" s="43"/>
      <c r="M63" s="10"/>
      <c r="N63" s="10"/>
      <c r="O63" s="10"/>
      <c r="P63" s="10"/>
    </row>
    <row r="64" spans="1:16" x14ac:dyDescent="0.25">
      <c r="A64" s="1"/>
      <c r="B64" s="10"/>
      <c r="C64" s="42"/>
      <c r="D64" s="43"/>
      <c r="E64" s="10"/>
      <c r="F64" s="42"/>
      <c r="G64" s="43"/>
      <c r="H64" s="10"/>
      <c r="I64" s="10"/>
      <c r="J64" s="42"/>
      <c r="K64" s="43"/>
      <c r="L64" s="43"/>
      <c r="M64" s="10"/>
      <c r="N64" s="10"/>
      <c r="O64" s="10"/>
      <c r="P64" s="10"/>
    </row>
    <row r="65" spans="1:16" x14ac:dyDescent="0.25">
      <c r="A65" s="1"/>
      <c r="B65" s="10"/>
      <c r="C65" s="42"/>
      <c r="D65" s="43"/>
      <c r="E65" s="10"/>
      <c r="F65" s="42"/>
      <c r="G65" s="43"/>
      <c r="H65" s="10"/>
      <c r="I65" s="10"/>
      <c r="J65" s="42"/>
      <c r="K65" s="43"/>
      <c r="L65" s="43"/>
      <c r="M65" s="10"/>
      <c r="N65" s="10"/>
      <c r="O65" s="10"/>
      <c r="P65" s="10"/>
    </row>
    <row r="66" spans="1:16" x14ac:dyDescent="0.25">
      <c r="A66" s="1"/>
      <c r="B66" s="10"/>
      <c r="C66" s="42"/>
      <c r="D66" s="43"/>
      <c r="E66" s="10"/>
      <c r="F66" s="42"/>
      <c r="G66" s="43"/>
      <c r="H66" s="10"/>
      <c r="I66" s="10"/>
      <c r="J66" s="42"/>
      <c r="K66" s="43"/>
      <c r="L66" s="43"/>
      <c r="M66" s="10"/>
      <c r="N66" s="10"/>
      <c r="O66" s="10"/>
      <c r="P66" s="10"/>
    </row>
    <row r="67" spans="1:16" x14ac:dyDescent="0.25">
      <c r="A67" s="1"/>
      <c r="B67" s="10"/>
      <c r="C67" s="42"/>
      <c r="D67" s="43"/>
      <c r="E67" s="10"/>
      <c r="F67" s="42"/>
      <c r="G67" s="43"/>
      <c r="H67" s="10"/>
      <c r="I67" s="10"/>
      <c r="J67" s="42"/>
      <c r="K67" s="43"/>
      <c r="L67" s="43"/>
      <c r="M67" s="10"/>
      <c r="N67" s="10"/>
      <c r="O67" s="10"/>
      <c r="P67" s="10"/>
    </row>
    <row r="68" spans="1:16" x14ac:dyDescent="0.25">
      <c r="A68" s="1"/>
      <c r="B68" s="10"/>
      <c r="C68" s="42"/>
      <c r="D68" s="43"/>
      <c r="E68" s="10"/>
      <c r="F68" s="42"/>
      <c r="G68" s="43"/>
      <c r="H68" s="10"/>
      <c r="I68" s="10"/>
      <c r="J68" s="42"/>
      <c r="K68" s="43"/>
      <c r="L68" s="43"/>
      <c r="M68" s="10"/>
      <c r="N68" s="10"/>
      <c r="O68" s="10"/>
      <c r="P68" s="10"/>
    </row>
    <row r="69" spans="1:16" x14ac:dyDescent="0.25">
      <c r="A69" s="1"/>
      <c r="B69" s="10"/>
      <c r="C69" s="42"/>
      <c r="D69" s="43"/>
      <c r="E69" s="10"/>
      <c r="F69" s="42"/>
      <c r="G69" s="43"/>
      <c r="H69" s="10"/>
      <c r="I69" s="10"/>
      <c r="J69" s="42"/>
      <c r="K69" s="43"/>
      <c r="L69" s="43"/>
      <c r="M69" s="10"/>
      <c r="N69" s="10"/>
      <c r="O69" s="10"/>
      <c r="P69" s="10"/>
    </row>
    <row r="70" spans="1:16" x14ac:dyDescent="0.25">
      <c r="A70" s="1"/>
      <c r="B70" s="10"/>
      <c r="C70" s="42"/>
      <c r="D70" s="43"/>
      <c r="E70" s="10"/>
      <c r="F70" s="42"/>
      <c r="G70" s="43"/>
      <c r="H70" s="10"/>
      <c r="I70" s="10"/>
      <c r="J70" s="42"/>
      <c r="K70" s="43"/>
      <c r="L70" s="43"/>
      <c r="M70" s="10"/>
      <c r="N70" s="10"/>
      <c r="O70" s="10"/>
      <c r="P70" s="10"/>
    </row>
    <row r="71" spans="1:16" x14ac:dyDescent="0.25">
      <c r="A71" s="1"/>
      <c r="B71" s="10"/>
      <c r="C71" s="42"/>
      <c r="D71" s="43"/>
      <c r="E71" s="10"/>
      <c r="F71" s="42"/>
      <c r="G71" s="43"/>
      <c r="H71" s="10"/>
      <c r="I71" s="10"/>
      <c r="J71" s="42"/>
      <c r="K71" s="43"/>
      <c r="L71" s="43"/>
      <c r="M71" s="10"/>
      <c r="N71" s="10"/>
      <c r="O71" s="10"/>
      <c r="P71" s="10"/>
    </row>
    <row r="72" spans="1:16" x14ac:dyDescent="0.25">
      <c r="A72" s="1"/>
      <c r="B72" s="10"/>
      <c r="C72" s="42"/>
      <c r="D72" s="43"/>
      <c r="E72" s="10"/>
      <c r="F72" s="42"/>
      <c r="G72" s="43"/>
      <c r="H72" s="10"/>
      <c r="I72" s="10"/>
      <c r="J72" s="42"/>
      <c r="K72" s="43"/>
      <c r="L72" s="43"/>
      <c r="M72" s="10"/>
      <c r="N72" s="10"/>
      <c r="O72" s="10"/>
      <c r="P72" s="10"/>
    </row>
    <row r="73" spans="1:16" x14ac:dyDescent="0.25">
      <c r="A73" s="1"/>
      <c r="B73" s="10"/>
      <c r="C73" s="42"/>
      <c r="D73" s="43"/>
      <c r="E73" s="10"/>
      <c r="F73" s="42"/>
      <c r="G73" s="43"/>
      <c r="H73" s="10"/>
      <c r="I73" s="10"/>
      <c r="J73" s="42"/>
      <c r="K73" s="43"/>
      <c r="L73" s="43"/>
      <c r="M73" s="10"/>
      <c r="N73" s="10"/>
      <c r="O73" s="10"/>
      <c r="P73" s="10"/>
    </row>
    <row r="74" spans="1:16" x14ac:dyDescent="0.25">
      <c r="A74" s="1"/>
      <c r="B74" s="10"/>
      <c r="C74" s="42"/>
      <c r="D74" s="43"/>
      <c r="E74" s="10"/>
      <c r="F74" s="42"/>
      <c r="G74" s="43"/>
      <c r="H74" s="10"/>
      <c r="I74" s="10"/>
      <c r="J74" s="42"/>
      <c r="K74" s="43"/>
      <c r="L74" s="43"/>
      <c r="M74" s="10"/>
      <c r="N74" s="10"/>
      <c r="O74" s="10"/>
      <c r="P74" s="10"/>
    </row>
    <row r="75" spans="1:16" x14ac:dyDescent="0.25">
      <c r="A75" s="1"/>
      <c r="B75" s="10"/>
      <c r="C75" s="42"/>
      <c r="D75" s="43"/>
      <c r="E75" s="10"/>
      <c r="F75" s="42"/>
      <c r="G75" s="43"/>
      <c r="H75" s="10"/>
      <c r="I75" s="10"/>
      <c r="J75" s="42"/>
      <c r="K75" s="43"/>
      <c r="L75" s="43"/>
      <c r="M75" s="10"/>
      <c r="N75" s="10"/>
      <c r="O75" s="10"/>
      <c r="P75" s="10"/>
    </row>
    <row r="76" spans="1:16" x14ac:dyDescent="0.25">
      <c r="A76" s="1"/>
      <c r="B76" s="10"/>
      <c r="C76" s="42"/>
      <c r="D76" s="43"/>
      <c r="E76" s="10"/>
      <c r="F76" s="42"/>
      <c r="G76" s="43"/>
      <c r="H76" s="10"/>
      <c r="I76" s="10"/>
      <c r="J76" s="42"/>
      <c r="K76" s="43"/>
      <c r="L76" s="43"/>
      <c r="M76" s="10"/>
      <c r="N76" s="10"/>
      <c r="O76" s="10"/>
      <c r="P76" s="10"/>
    </row>
    <row r="77" spans="1:16" x14ac:dyDescent="0.25">
      <c r="A77" s="1"/>
      <c r="B77" s="10"/>
      <c r="C77" s="42"/>
      <c r="D77" s="43"/>
      <c r="E77" s="10"/>
      <c r="F77" s="42"/>
      <c r="G77" s="43"/>
      <c r="H77" s="10"/>
      <c r="I77" s="10"/>
      <c r="J77" s="42"/>
      <c r="K77" s="43"/>
      <c r="L77" s="43"/>
      <c r="M77" s="10"/>
      <c r="N77" s="10"/>
      <c r="O77" s="10"/>
      <c r="P77" s="10"/>
    </row>
    <row r="78" spans="1:16" x14ac:dyDescent="0.25">
      <c r="A78" s="1"/>
      <c r="B78" s="10"/>
      <c r="C78" s="42"/>
      <c r="D78" s="43"/>
      <c r="E78" s="10"/>
      <c r="F78" s="42"/>
      <c r="G78" s="43"/>
      <c r="H78" s="10"/>
      <c r="I78" s="10"/>
      <c r="J78" s="42"/>
      <c r="K78" s="43"/>
      <c r="L78" s="43"/>
      <c r="M78" s="10"/>
      <c r="N78" s="10"/>
      <c r="O78" s="10"/>
      <c r="P78" s="10"/>
    </row>
    <row r="79" spans="1:16" x14ac:dyDescent="0.25">
      <c r="A79" s="1"/>
      <c r="B79" s="10"/>
      <c r="C79" s="42"/>
      <c r="D79" s="43"/>
      <c r="E79" s="10"/>
      <c r="F79" s="42"/>
      <c r="G79" s="43"/>
      <c r="H79" s="10"/>
      <c r="I79" s="10"/>
      <c r="J79" s="42"/>
      <c r="K79" s="43"/>
      <c r="L79" s="43"/>
      <c r="M79" s="10"/>
      <c r="N79" s="10"/>
      <c r="O79" s="10"/>
      <c r="P79" s="10"/>
    </row>
    <row r="80" spans="1:16" x14ac:dyDescent="0.25">
      <c r="A80" s="1"/>
      <c r="B80" s="10"/>
      <c r="C80" s="42"/>
      <c r="D80" s="43"/>
      <c r="E80" s="10"/>
      <c r="F80" s="42"/>
      <c r="G80" s="43"/>
      <c r="H80" s="10"/>
      <c r="I80" s="10"/>
      <c r="J80" s="42"/>
      <c r="K80" s="43"/>
      <c r="L80" s="43"/>
      <c r="M80" s="10"/>
      <c r="N80" s="10"/>
      <c r="O80" s="10"/>
      <c r="P80" s="10"/>
    </row>
    <row r="81" spans="1:16" x14ac:dyDescent="0.25">
      <c r="A81" s="1"/>
      <c r="B81" s="10"/>
      <c r="C81" s="42"/>
      <c r="D81" s="43"/>
      <c r="E81" s="10"/>
      <c r="F81" s="42"/>
      <c r="G81" s="43"/>
      <c r="H81" s="10"/>
      <c r="I81" s="10"/>
      <c r="J81" s="42"/>
      <c r="K81" s="43"/>
      <c r="L81" s="43"/>
      <c r="M81" s="10"/>
      <c r="N81" s="10"/>
      <c r="O81" s="10"/>
      <c r="P81" s="10"/>
    </row>
    <row r="82" spans="1:16" x14ac:dyDescent="0.25">
      <c r="A82" s="1"/>
      <c r="B82" s="10"/>
      <c r="C82" s="42"/>
      <c r="D82" s="43"/>
      <c r="E82" s="10"/>
      <c r="F82" s="42"/>
      <c r="G82" s="43"/>
      <c r="H82" s="10"/>
      <c r="I82" s="10"/>
      <c r="J82" s="42"/>
      <c r="K82" s="43"/>
      <c r="L82" s="43"/>
      <c r="M82" s="10"/>
      <c r="N82" s="10"/>
      <c r="O82" s="10"/>
      <c r="P82" s="10"/>
    </row>
    <row r="83" spans="1:16" x14ac:dyDescent="0.25">
      <c r="A83" s="1"/>
      <c r="B83" s="10"/>
      <c r="C83" s="42"/>
      <c r="D83" s="43"/>
      <c r="E83" s="10"/>
      <c r="F83" s="42"/>
      <c r="G83" s="43"/>
      <c r="H83" s="10"/>
      <c r="I83" s="10"/>
      <c r="J83" s="42"/>
      <c r="K83" s="43"/>
      <c r="L83" s="43"/>
      <c r="M83" s="10"/>
      <c r="N83" s="10"/>
      <c r="O83" s="10"/>
      <c r="P83" s="10"/>
    </row>
    <row r="84" spans="1:16" x14ac:dyDescent="0.25">
      <c r="A84" s="1"/>
      <c r="B84" s="10"/>
      <c r="C84" s="42"/>
      <c r="D84" s="43"/>
      <c r="E84" s="10"/>
      <c r="F84" s="42"/>
      <c r="G84" s="43"/>
      <c r="H84" s="10"/>
      <c r="I84" s="10"/>
      <c r="J84" s="42"/>
      <c r="K84" s="43"/>
      <c r="L84" s="43"/>
      <c r="M84" s="10"/>
      <c r="N84" s="10"/>
      <c r="O84" s="10"/>
      <c r="P84" s="10"/>
    </row>
    <row r="85" spans="1:16" x14ac:dyDescent="0.25">
      <c r="A85" s="1"/>
      <c r="B85" s="10"/>
      <c r="C85" s="42"/>
      <c r="D85" s="43"/>
      <c r="E85" s="10"/>
      <c r="F85" s="42"/>
      <c r="G85" s="43"/>
      <c r="H85" s="10"/>
      <c r="I85" s="10"/>
      <c r="J85" s="42"/>
      <c r="K85" s="43"/>
      <c r="L85" s="43"/>
      <c r="M85" s="10"/>
      <c r="N85" s="10"/>
      <c r="O85" s="10"/>
      <c r="P85" s="10"/>
    </row>
    <row r="86" spans="1:16" x14ac:dyDescent="0.25">
      <c r="A86" s="1"/>
      <c r="B86" s="10"/>
      <c r="C86" s="42"/>
      <c r="D86" s="43"/>
      <c r="E86" s="10"/>
      <c r="F86" s="42"/>
      <c r="G86" s="43"/>
      <c r="H86" s="10"/>
      <c r="I86" s="10"/>
      <c r="J86" s="42"/>
      <c r="K86" s="43"/>
      <c r="L86" s="43"/>
      <c r="M86" s="10"/>
      <c r="N86" s="10"/>
      <c r="O86" s="10"/>
      <c r="P86" s="10"/>
    </row>
    <row r="87" spans="1:16" x14ac:dyDescent="0.25">
      <c r="A87" s="1"/>
      <c r="B87" s="10"/>
      <c r="C87" s="42"/>
      <c r="D87" s="43"/>
      <c r="E87" s="10"/>
      <c r="F87" s="42"/>
      <c r="G87" s="43"/>
      <c r="H87" s="10"/>
      <c r="I87" s="10"/>
      <c r="J87" s="42"/>
      <c r="K87" s="43"/>
      <c r="L87" s="43"/>
      <c r="M87" s="10"/>
      <c r="N87" s="10"/>
      <c r="O87" s="10"/>
      <c r="P87" s="10"/>
    </row>
    <row r="88" spans="1:16" x14ac:dyDescent="0.25">
      <c r="A88" s="1"/>
      <c r="B88" s="10"/>
      <c r="C88" s="42"/>
      <c r="D88" s="43"/>
      <c r="E88" s="10"/>
      <c r="F88" s="42"/>
      <c r="G88" s="43"/>
      <c r="H88" s="10"/>
      <c r="I88" s="10"/>
      <c r="J88" s="42"/>
      <c r="K88" s="43"/>
      <c r="L88" s="43"/>
      <c r="M88" s="10"/>
      <c r="N88" s="10"/>
      <c r="O88" s="10"/>
      <c r="P88" s="10"/>
    </row>
    <row r="89" spans="1:16" x14ac:dyDescent="0.25">
      <c r="A89" s="1"/>
      <c r="B89" s="10"/>
      <c r="C89" s="42"/>
      <c r="D89" s="43"/>
      <c r="E89" s="10"/>
      <c r="F89" s="42"/>
      <c r="G89" s="43"/>
      <c r="H89" s="10"/>
      <c r="I89" s="10"/>
      <c r="J89" s="42"/>
      <c r="K89" s="43"/>
      <c r="L89" s="43"/>
      <c r="M89" s="10"/>
      <c r="N89" s="10"/>
      <c r="O89" s="10"/>
      <c r="P89" s="10"/>
    </row>
    <row r="90" spans="1:16" x14ac:dyDescent="0.25">
      <c r="A90" s="1"/>
      <c r="B90" s="10"/>
      <c r="C90" s="42"/>
      <c r="D90" s="43"/>
      <c r="E90" s="10"/>
      <c r="F90" s="42"/>
      <c r="G90" s="43"/>
      <c r="H90" s="10"/>
      <c r="I90" s="10"/>
      <c r="J90" s="42"/>
      <c r="K90" s="43"/>
      <c r="L90" s="43"/>
      <c r="M90" s="10"/>
      <c r="N90" s="10"/>
      <c r="O90" s="10"/>
      <c r="P90" s="10"/>
    </row>
    <row r="91" spans="1:16" x14ac:dyDescent="0.25">
      <c r="A91" s="1"/>
      <c r="B91" s="10"/>
      <c r="C91" s="42"/>
      <c r="D91" s="43"/>
      <c r="E91" s="10"/>
      <c r="F91" s="42"/>
      <c r="G91" s="43"/>
      <c r="H91" s="10"/>
      <c r="I91" s="10"/>
      <c r="J91" s="42"/>
      <c r="K91" s="43"/>
      <c r="L91" s="43"/>
      <c r="M91" s="10"/>
      <c r="N91" s="10"/>
      <c r="O91" s="10"/>
      <c r="P91" s="10"/>
    </row>
    <row r="92" spans="1:16" x14ac:dyDescent="0.25">
      <c r="A92" s="1"/>
      <c r="B92" s="10"/>
      <c r="C92" s="42"/>
      <c r="D92" s="43"/>
      <c r="E92" s="10"/>
      <c r="F92" s="42"/>
      <c r="G92" s="43"/>
      <c r="H92" s="10"/>
      <c r="I92" s="10"/>
      <c r="J92" s="42"/>
      <c r="K92" s="43"/>
      <c r="L92" s="43"/>
      <c r="M92" s="10"/>
      <c r="N92" s="10"/>
      <c r="O92" s="10"/>
      <c r="P92" s="10"/>
    </row>
    <row r="93" spans="1:16" x14ac:dyDescent="0.25">
      <c r="A93" s="1"/>
      <c r="B93" s="10"/>
      <c r="C93" s="42"/>
      <c r="D93" s="43"/>
      <c r="E93" s="10"/>
      <c r="F93" s="42"/>
      <c r="G93" s="43"/>
      <c r="H93" s="10"/>
      <c r="I93" s="10"/>
      <c r="J93" s="42"/>
      <c r="K93" s="43"/>
      <c r="L93" s="43"/>
      <c r="M93" s="10"/>
      <c r="N93" s="10"/>
      <c r="O93" s="10"/>
      <c r="P93" s="10"/>
    </row>
    <row r="94" spans="1:16" x14ac:dyDescent="0.25">
      <c r="A94" s="1"/>
      <c r="B94" s="10"/>
      <c r="C94" s="42"/>
      <c r="D94" s="43"/>
      <c r="E94" s="10"/>
      <c r="F94" s="42"/>
      <c r="G94" s="43"/>
      <c r="H94" s="10"/>
      <c r="I94" s="10"/>
      <c r="J94" s="42"/>
      <c r="K94" s="43"/>
      <c r="L94" s="43"/>
      <c r="M94" s="10"/>
      <c r="N94" s="10"/>
      <c r="O94" s="10"/>
      <c r="P94" s="10"/>
    </row>
    <row r="95" spans="1:16" x14ac:dyDescent="0.25">
      <c r="A95" s="1"/>
      <c r="B95" s="10"/>
      <c r="C95" s="42"/>
      <c r="D95" s="43"/>
      <c r="E95" s="10"/>
      <c r="F95" s="42"/>
      <c r="G95" s="43"/>
      <c r="H95" s="10"/>
      <c r="I95" s="10"/>
      <c r="J95" s="42"/>
      <c r="K95" s="43"/>
      <c r="L95" s="43"/>
      <c r="M95" s="10"/>
      <c r="N95" s="10"/>
      <c r="O95" s="10"/>
      <c r="P95" s="10"/>
    </row>
    <row r="96" spans="1:16" x14ac:dyDescent="0.25">
      <c r="A96" s="1"/>
      <c r="B96" s="10"/>
      <c r="C96" s="42"/>
      <c r="D96" s="43"/>
      <c r="E96" s="10"/>
      <c r="F96" s="42"/>
      <c r="G96" s="43"/>
      <c r="H96" s="10"/>
      <c r="I96" s="10"/>
      <c r="J96" s="42"/>
      <c r="K96" s="43"/>
      <c r="L96" s="43"/>
      <c r="M96" s="10"/>
      <c r="N96" s="10"/>
      <c r="O96" s="10"/>
      <c r="P96" s="10"/>
    </row>
    <row r="97" spans="1:16" x14ac:dyDescent="0.25">
      <c r="A97" s="1"/>
      <c r="B97" s="10"/>
      <c r="C97" s="42"/>
      <c r="D97" s="43"/>
      <c r="E97" s="10"/>
      <c r="F97" s="42"/>
      <c r="G97" s="43"/>
      <c r="H97" s="10"/>
      <c r="I97" s="10"/>
      <c r="J97" s="42"/>
      <c r="K97" s="43"/>
      <c r="L97" s="43"/>
      <c r="M97" s="10"/>
      <c r="N97" s="10"/>
      <c r="O97" s="10"/>
      <c r="P97" s="10"/>
    </row>
    <row r="98" spans="1:16" x14ac:dyDescent="0.25">
      <c r="A98" s="1"/>
      <c r="B98" s="10"/>
      <c r="C98" s="42"/>
      <c r="D98" s="43"/>
      <c r="E98" s="10"/>
      <c r="F98" s="42"/>
      <c r="G98" s="43"/>
      <c r="H98" s="10"/>
      <c r="I98" s="10"/>
      <c r="J98" s="42"/>
      <c r="K98" s="43"/>
      <c r="L98" s="43"/>
      <c r="M98" s="10"/>
      <c r="N98" s="10"/>
      <c r="O98" s="10"/>
      <c r="P98" s="10"/>
    </row>
    <row r="99" spans="1:16" x14ac:dyDescent="0.25">
      <c r="A99" s="1"/>
      <c r="B99" s="10"/>
      <c r="C99" s="42"/>
      <c r="D99" s="43"/>
      <c r="E99" s="10"/>
      <c r="F99" s="42"/>
      <c r="G99" s="43"/>
      <c r="H99" s="10"/>
      <c r="I99" s="10"/>
      <c r="J99" s="42"/>
      <c r="K99" s="43"/>
      <c r="L99" s="43"/>
      <c r="M99" s="10"/>
      <c r="N99" s="10"/>
      <c r="O99" s="10"/>
      <c r="P99" s="10"/>
    </row>
    <row r="100" spans="1:16" x14ac:dyDescent="0.25">
      <c r="A100" s="1"/>
      <c r="B100" s="10"/>
      <c r="C100" s="42"/>
      <c r="D100" s="43"/>
      <c r="E100" s="10"/>
      <c r="F100" s="42"/>
      <c r="G100" s="43"/>
      <c r="H100" s="10"/>
      <c r="I100" s="10"/>
      <c r="J100" s="42"/>
      <c r="K100" s="43"/>
      <c r="L100" s="43"/>
      <c r="M100" s="10"/>
      <c r="N100" s="10"/>
      <c r="O100" s="10"/>
      <c r="P100" s="10"/>
    </row>
    <row r="101" spans="1:16" x14ac:dyDescent="0.25">
      <c r="A101" s="1"/>
      <c r="B101" s="10"/>
      <c r="C101" s="42"/>
      <c r="D101" s="43"/>
      <c r="E101" s="10"/>
      <c r="F101" s="42"/>
      <c r="G101" s="43"/>
      <c r="H101" s="10"/>
      <c r="I101" s="10"/>
      <c r="J101" s="42"/>
      <c r="K101" s="43"/>
      <c r="L101" s="43"/>
      <c r="M101" s="10"/>
      <c r="N101" s="10"/>
      <c r="O101" s="10"/>
      <c r="P101" s="10"/>
    </row>
    <row r="102" spans="1:16" x14ac:dyDescent="0.25">
      <c r="A102" s="1"/>
      <c r="B102" s="10"/>
      <c r="C102" s="42"/>
      <c r="D102" s="43"/>
      <c r="E102" s="10"/>
      <c r="F102" s="42"/>
      <c r="G102" s="43"/>
      <c r="H102" s="10"/>
      <c r="I102" s="10"/>
      <c r="J102" s="42"/>
      <c r="K102" s="43"/>
      <c r="L102" s="43"/>
      <c r="M102" s="10"/>
      <c r="N102" s="10"/>
      <c r="O102" s="10"/>
      <c r="P102" s="10"/>
    </row>
    <row r="103" spans="1:16" x14ac:dyDescent="0.25">
      <c r="A103" s="1"/>
      <c r="B103" s="10"/>
      <c r="C103" s="42"/>
      <c r="D103" s="43"/>
      <c r="E103" s="10"/>
      <c r="F103" s="42"/>
      <c r="G103" s="43"/>
      <c r="H103" s="10"/>
      <c r="I103" s="10"/>
      <c r="J103" s="42"/>
      <c r="K103" s="43"/>
      <c r="L103" s="43"/>
      <c r="M103" s="10"/>
      <c r="N103" s="10"/>
      <c r="O103" s="10"/>
      <c r="P103" s="10"/>
    </row>
    <row r="104" spans="1:16" x14ac:dyDescent="0.25">
      <c r="A104" s="1"/>
      <c r="B104" s="10"/>
      <c r="C104" s="42"/>
      <c r="D104" s="43"/>
      <c r="E104" s="10"/>
      <c r="F104" s="42"/>
      <c r="G104" s="43"/>
      <c r="H104" s="10"/>
      <c r="I104" s="10"/>
      <c r="J104" s="42"/>
      <c r="K104" s="43"/>
      <c r="L104" s="43"/>
      <c r="M104" s="10"/>
      <c r="N104" s="10"/>
      <c r="O104" s="10"/>
      <c r="P104" s="10"/>
    </row>
    <row r="105" spans="1:16" x14ac:dyDescent="0.25">
      <c r="A105" s="1"/>
      <c r="B105" s="10"/>
      <c r="C105" s="42"/>
      <c r="D105" s="43"/>
      <c r="E105" s="10"/>
      <c r="F105" s="42"/>
      <c r="G105" s="43"/>
      <c r="H105" s="10"/>
      <c r="I105" s="10"/>
      <c r="J105" s="42"/>
      <c r="K105" s="43"/>
      <c r="L105" s="43"/>
      <c r="M105" s="10"/>
      <c r="N105" s="10"/>
      <c r="O105" s="10"/>
      <c r="P105" s="10"/>
    </row>
    <row r="106" spans="1:16" x14ac:dyDescent="0.25">
      <c r="A106" s="1"/>
      <c r="B106" s="10"/>
      <c r="C106" s="42"/>
      <c r="D106" s="43"/>
      <c r="E106" s="10"/>
      <c r="F106" s="42"/>
      <c r="G106" s="43"/>
      <c r="H106" s="10"/>
      <c r="I106" s="10"/>
      <c r="J106" s="42"/>
      <c r="K106" s="43"/>
      <c r="L106" s="43"/>
      <c r="M106" s="10"/>
      <c r="N106" s="10"/>
      <c r="O106" s="10"/>
      <c r="P106" s="10"/>
    </row>
    <row r="107" spans="1:16" x14ac:dyDescent="0.25">
      <c r="A107" s="1"/>
      <c r="B107" s="10"/>
      <c r="C107" s="42"/>
      <c r="D107" s="43"/>
      <c r="E107" s="10"/>
      <c r="F107" s="42"/>
      <c r="G107" s="43"/>
      <c r="H107" s="10"/>
      <c r="I107" s="10"/>
      <c r="J107" s="42"/>
      <c r="K107" s="43"/>
      <c r="L107" s="43"/>
      <c r="M107" s="10"/>
      <c r="N107" s="10"/>
      <c r="O107" s="10"/>
      <c r="P107" s="10"/>
    </row>
    <row r="108" spans="1:16" x14ac:dyDescent="0.25">
      <c r="A108" s="1"/>
      <c r="B108" s="10"/>
      <c r="C108" s="42"/>
      <c r="D108" s="43"/>
      <c r="E108" s="10"/>
      <c r="F108" s="42"/>
      <c r="G108" s="43"/>
      <c r="H108" s="10"/>
      <c r="I108" s="10"/>
      <c r="J108" s="42"/>
      <c r="K108" s="43"/>
      <c r="L108" s="43"/>
      <c r="M108" s="10"/>
      <c r="N108" s="10"/>
      <c r="O108" s="10"/>
      <c r="P108" s="10"/>
    </row>
    <row r="109" spans="1:16" x14ac:dyDescent="0.25">
      <c r="A109" s="1"/>
      <c r="B109" s="10"/>
      <c r="C109" s="42"/>
      <c r="D109" s="43"/>
      <c r="E109" s="10"/>
      <c r="F109" s="42"/>
      <c r="G109" s="43"/>
      <c r="H109" s="10"/>
      <c r="I109" s="10"/>
      <c r="J109" s="42"/>
      <c r="K109" s="43"/>
      <c r="L109" s="43"/>
      <c r="M109" s="10"/>
      <c r="N109" s="10"/>
      <c r="O109" s="10"/>
      <c r="P109" s="10"/>
    </row>
    <row r="110" spans="1:16" x14ac:dyDescent="0.25">
      <c r="A110" s="1"/>
      <c r="B110" s="10"/>
      <c r="C110" s="42"/>
      <c r="D110" s="43"/>
      <c r="E110" s="10"/>
      <c r="F110" s="42"/>
      <c r="G110" s="43"/>
      <c r="H110" s="10"/>
      <c r="I110" s="10"/>
      <c r="J110" s="42"/>
      <c r="K110" s="43"/>
      <c r="L110" s="43"/>
      <c r="M110" s="10"/>
      <c r="N110" s="10"/>
      <c r="O110" s="10"/>
      <c r="P110" s="10"/>
    </row>
    <row r="111" spans="1:16" x14ac:dyDescent="0.25">
      <c r="A111" s="1"/>
      <c r="B111" s="10"/>
      <c r="C111" s="42"/>
      <c r="D111" s="43"/>
      <c r="E111" s="10"/>
      <c r="F111" s="42"/>
      <c r="G111" s="43"/>
      <c r="H111" s="10"/>
      <c r="I111" s="10"/>
      <c r="J111" s="42"/>
      <c r="K111" s="43"/>
      <c r="L111" s="43"/>
      <c r="M111" s="10"/>
      <c r="N111" s="10"/>
      <c r="O111" s="10"/>
      <c r="P111" s="10"/>
    </row>
    <row r="112" spans="1:16" x14ac:dyDescent="0.25">
      <c r="A112" s="1"/>
      <c r="B112" s="10"/>
      <c r="C112" s="42"/>
      <c r="D112" s="43"/>
      <c r="E112" s="10"/>
      <c r="F112" s="42"/>
      <c r="G112" s="43"/>
      <c r="H112" s="10"/>
      <c r="I112" s="10"/>
      <c r="J112" s="42"/>
      <c r="K112" s="43"/>
      <c r="L112" s="43"/>
      <c r="M112" s="10"/>
      <c r="N112" s="10"/>
      <c r="O112" s="10"/>
      <c r="P112" s="10"/>
    </row>
    <row r="113" spans="1:16" x14ac:dyDescent="0.25">
      <c r="A113" s="1"/>
      <c r="B113" s="10"/>
      <c r="C113" s="42"/>
      <c r="D113" s="43"/>
      <c r="E113" s="10"/>
      <c r="F113" s="42"/>
      <c r="G113" s="43"/>
      <c r="H113" s="10"/>
      <c r="I113" s="10"/>
      <c r="J113" s="42"/>
      <c r="K113" s="43"/>
      <c r="L113" s="43"/>
      <c r="M113" s="10"/>
      <c r="N113" s="10"/>
      <c r="O113" s="10"/>
      <c r="P113" s="10"/>
    </row>
    <row r="114" spans="1:16" x14ac:dyDescent="0.25">
      <c r="A114" s="1"/>
      <c r="B114" s="10"/>
      <c r="C114" s="42"/>
      <c r="D114" s="43"/>
      <c r="E114" s="10"/>
      <c r="F114" s="42"/>
      <c r="G114" s="43"/>
      <c r="H114" s="10"/>
      <c r="I114" s="10"/>
      <c r="J114" s="42"/>
      <c r="K114" s="43"/>
      <c r="L114" s="43"/>
      <c r="M114" s="10"/>
      <c r="N114" s="10"/>
      <c r="O114" s="10"/>
      <c r="P114" s="10"/>
    </row>
    <row r="115" spans="1:16" x14ac:dyDescent="0.25">
      <c r="A115" s="1"/>
      <c r="B115" s="10"/>
      <c r="C115" s="42"/>
      <c r="D115" s="43"/>
      <c r="E115" s="10"/>
      <c r="F115" s="42"/>
      <c r="G115" s="43"/>
      <c r="H115" s="10"/>
      <c r="I115" s="10"/>
      <c r="J115" s="42"/>
      <c r="K115" s="43"/>
      <c r="L115" s="43"/>
      <c r="M115" s="10"/>
      <c r="N115" s="10"/>
      <c r="O115" s="10"/>
      <c r="P115" s="10"/>
    </row>
    <row r="116" spans="1:16" x14ac:dyDescent="0.25">
      <c r="A116" s="1"/>
      <c r="B116" s="10"/>
      <c r="C116" s="42"/>
      <c r="D116" s="43"/>
      <c r="E116" s="10"/>
      <c r="F116" s="42"/>
      <c r="G116" s="43"/>
      <c r="H116" s="10"/>
      <c r="I116" s="10"/>
      <c r="J116" s="42"/>
      <c r="K116" s="43"/>
      <c r="L116" s="43"/>
      <c r="M116" s="10"/>
      <c r="N116" s="10"/>
      <c r="O116" s="10"/>
      <c r="P116" s="10"/>
    </row>
    <row r="117" spans="1:16" x14ac:dyDescent="0.25">
      <c r="A117" s="1"/>
      <c r="B117" s="10"/>
      <c r="C117" s="42"/>
      <c r="D117" s="43"/>
      <c r="E117" s="10"/>
      <c r="F117" s="42"/>
      <c r="G117" s="43"/>
      <c r="H117" s="10"/>
      <c r="I117" s="10"/>
      <c r="J117" s="42"/>
      <c r="K117" s="43"/>
      <c r="L117" s="43"/>
      <c r="M117" s="10"/>
      <c r="N117" s="10"/>
      <c r="O117" s="10"/>
      <c r="P117" s="10"/>
    </row>
    <row r="118" spans="1:16" x14ac:dyDescent="0.25">
      <c r="A118" s="1"/>
      <c r="B118" s="10"/>
      <c r="C118" s="42"/>
      <c r="D118" s="43"/>
      <c r="E118" s="10"/>
      <c r="F118" s="42"/>
      <c r="G118" s="43"/>
      <c r="H118" s="10"/>
      <c r="I118" s="10"/>
      <c r="J118" s="42"/>
      <c r="K118" s="43"/>
      <c r="L118" s="43"/>
      <c r="M118" s="10"/>
      <c r="N118" s="10"/>
      <c r="O118" s="10"/>
      <c r="P118" s="10"/>
    </row>
    <row r="119" spans="1:16" x14ac:dyDescent="0.25">
      <c r="A119" s="1"/>
      <c r="B119" s="10"/>
      <c r="C119" s="42"/>
      <c r="D119" s="43"/>
      <c r="E119" s="10"/>
      <c r="F119" s="42"/>
      <c r="G119" s="43"/>
      <c r="H119" s="10"/>
      <c r="I119" s="10"/>
      <c r="J119" s="42"/>
      <c r="K119" s="43"/>
      <c r="L119" s="43"/>
      <c r="M119" s="10"/>
      <c r="N119" s="10"/>
      <c r="O119" s="10"/>
      <c r="P119" s="10"/>
    </row>
    <row r="120" spans="1:16" x14ac:dyDescent="0.25">
      <c r="A120" s="1"/>
      <c r="B120" s="10"/>
      <c r="C120" s="42"/>
      <c r="D120" s="43"/>
      <c r="E120" s="10"/>
      <c r="F120" s="42"/>
      <c r="G120" s="43"/>
      <c r="H120" s="10"/>
      <c r="I120" s="10"/>
      <c r="J120" s="42"/>
      <c r="K120" s="43"/>
      <c r="L120" s="43"/>
      <c r="M120" s="10"/>
      <c r="N120" s="10"/>
      <c r="O120" s="10"/>
      <c r="P120" s="10"/>
    </row>
    <row r="121" spans="1:16" x14ac:dyDescent="0.25">
      <c r="A121" s="1"/>
      <c r="B121" s="10"/>
      <c r="C121" s="42"/>
      <c r="D121" s="43"/>
      <c r="E121" s="10"/>
      <c r="F121" s="42"/>
      <c r="G121" s="43"/>
      <c r="H121" s="10"/>
      <c r="I121" s="10"/>
      <c r="J121" s="42"/>
      <c r="K121" s="43"/>
      <c r="L121" s="43"/>
      <c r="M121" s="10"/>
      <c r="N121" s="10"/>
      <c r="O121" s="10"/>
      <c r="P121" s="10"/>
    </row>
    <row r="122" spans="1:16" x14ac:dyDescent="0.25">
      <c r="A122" s="1"/>
      <c r="B122" s="10"/>
      <c r="C122" s="42"/>
      <c r="D122" s="43"/>
      <c r="E122" s="10"/>
      <c r="F122" s="42"/>
      <c r="G122" s="43"/>
      <c r="H122" s="10"/>
      <c r="I122" s="10"/>
      <c r="J122" s="42"/>
      <c r="K122" s="43"/>
      <c r="L122" s="43"/>
      <c r="M122" s="10"/>
      <c r="N122" s="10"/>
      <c r="O122" s="10"/>
      <c r="P122" s="10"/>
    </row>
    <row r="123" spans="1:16" x14ac:dyDescent="0.25">
      <c r="A123" s="1"/>
      <c r="B123" s="10"/>
      <c r="C123" s="42"/>
      <c r="D123" s="43"/>
      <c r="E123" s="10"/>
      <c r="F123" s="42"/>
      <c r="G123" s="43"/>
      <c r="H123" s="10"/>
      <c r="I123" s="10"/>
      <c r="J123" s="42"/>
      <c r="K123" s="43"/>
      <c r="L123" s="43"/>
      <c r="M123" s="10"/>
      <c r="N123" s="10"/>
      <c r="O123" s="10"/>
      <c r="P123" s="10"/>
    </row>
    <row r="124" spans="1:16" x14ac:dyDescent="0.25">
      <c r="A124" s="1"/>
      <c r="B124" s="10"/>
      <c r="C124" s="42"/>
      <c r="D124" s="43"/>
      <c r="E124" s="10"/>
      <c r="F124" s="42"/>
      <c r="G124" s="43"/>
      <c r="H124" s="10"/>
      <c r="I124" s="10"/>
      <c r="J124" s="42"/>
      <c r="K124" s="43"/>
      <c r="L124" s="43"/>
      <c r="M124" s="10"/>
      <c r="N124" s="10"/>
      <c r="O124" s="10"/>
      <c r="P124" s="10"/>
    </row>
    <row r="125" spans="1:16" x14ac:dyDescent="0.25">
      <c r="A125" s="1"/>
      <c r="B125" s="10"/>
      <c r="C125" s="42"/>
      <c r="D125" s="43"/>
      <c r="E125" s="10"/>
      <c r="F125" s="42"/>
      <c r="G125" s="43"/>
      <c r="H125" s="10"/>
      <c r="I125" s="10"/>
      <c r="J125" s="42"/>
      <c r="K125" s="43"/>
      <c r="L125" s="43"/>
      <c r="M125" s="10"/>
      <c r="N125" s="10"/>
      <c r="O125" s="10"/>
      <c r="P125" s="10"/>
    </row>
    <row r="126" spans="1:16" x14ac:dyDescent="0.25">
      <c r="A126" s="1"/>
      <c r="B126" s="10"/>
      <c r="C126" s="42"/>
      <c r="D126" s="43"/>
      <c r="E126" s="10"/>
      <c r="F126" s="42"/>
      <c r="G126" s="43"/>
      <c r="H126" s="10"/>
      <c r="I126" s="10"/>
      <c r="J126" s="42"/>
      <c r="K126" s="43"/>
      <c r="L126" s="43"/>
      <c r="M126" s="10"/>
      <c r="N126" s="10"/>
      <c r="O126" s="10"/>
      <c r="P126" s="10"/>
    </row>
    <row r="127" spans="1:16" x14ac:dyDescent="0.25">
      <c r="A127" s="1"/>
      <c r="B127" s="10"/>
      <c r="C127" s="42"/>
      <c r="D127" s="43"/>
      <c r="E127" s="10"/>
      <c r="F127" s="42"/>
      <c r="G127" s="43"/>
      <c r="H127" s="10"/>
      <c r="I127" s="10"/>
      <c r="J127" s="42"/>
      <c r="K127" s="43"/>
      <c r="L127" s="43"/>
      <c r="M127" s="10"/>
      <c r="N127" s="10"/>
      <c r="O127" s="10"/>
      <c r="P127" s="10"/>
    </row>
    <row r="128" spans="1:16" x14ac:dyDescent="0.25">
      <c r="A128" s="1"/>
      <c r="B128" s="10"/>
      <c r="C128" s="42"/>
      <c r="D128" s="43"/>
      <c r="E128" s="10"/>
      <c r="F128" s="42"/>
      <c r="G128" s="43"/>
      <c r="H128" s="10"/>
      <c r="I128" s="10"/>
      <c r="J128" s="42"/>
      <c r="K128" s="43"/>
      <c r="L128" s="43"/>
      <c r="M128" s="10"/>
      <c r="N128" s="10"/>
      <c r="O128" s="10"/>
      <c r="P128" s="10"/>
    </row>
    <row r="129" spans="1:16" x14ac:dyDescent="0.25">
      <c r="A129" s="1"/>
      <c r="B129" s="10"/>
      <c r="C129" s="42"/>
      <c r="D129" s="43"/>
      <c r="E129" s="10"/>
      <c r="F129" s="42"/>
      <c r="G129" s="43"/>
      <c r="H129" s="10"/>
      <c r="I129" s="10"/>
      <c r="J129" s="42"/>
      <c r="K129" s="43"/>
      <c r="L129" s="43"/>
      <c r="M129" s="10"/>
      <c r="N129" s="10"/>
      <c r="O129" s="10"/>
      <c r="P129" s="10"/>
    </row>
    <row r="130" spans="1:16" x14ac:dyDescent="0.25">
      <c r="A130" s="1"/>
      <c r="B130" s="10"/>
      <c r="C130" s="42"/>
      <c r="D130" s="43"/>
      <c r="E130" s="10"/>
      <c r="F130" s="42"/>
      <c r="G130" s="43"/>
      <c r="H130" s="10"/>
      <c r="I130" s="10"/>
      <c r="J130" s="42"/>
      <c r="K130" s="43"/>
      <c r="L130" s="43"/>
      <c r="M130" s="10"/>
      <c r="N130" s="10"/>
      <c r="O130" s="10"/>
      <c r="P130" s="10"/>
    </row>
    <row r="131" spans="1:16" x14ac:dyDescent="0.25">
      <c r="A131" s="1"/>
      <c r="B131" s="10"/>
      <c r="C131" s="42"/>
      <c r="D131" s="43"/>
      <c r="E131" s="10"/>
      <c r="F131" s="42"/>
      <c r="G131" s="43"/>
      <c r="H131" s="10"/>
      <c r="I131" s="10"/>
      <c r="J131" s="42"/>
      <c r="K131" s="43"/>
      <c r="L131" s="43"/>
      <c r="M131" s="10"/>
      <c r="N131" s="10"/>
      <c r="O131" s="10"/>
      <c r="P131" s="10"/>
    </row>
    <row r="132" spans="1:16" x14ac:dyDescent="0.25">
      <c r="A132" s="1"/>
      <c r="B132" s="10"/>
      <c r="C132" s="42"/>
      <c r="D132" s="43"/>
      <c r="E132" s="10"/>
      <c r="F132" s="42"/>
      <c r="G132" s="43"/>
      <c r="H132" s="10"/>
      <c r="I132" s="10"/>
      <c r="J132" s="42"/>
      <c r="K132" s="43"/>
      <c r="L132" s="43"/>
      <c r="M132" s="10"/>
      <c r="N132" s="10"/>
      <c r="O132" s="10"/>
      <c r="P132" s="10"/>
    </row>
    <row r="133" spans="1:16" x14ac:dyDescent="0.25">
      <c r="A133" s="1"/>
      <c r="B133" s="10"/>
      <c r="C133" s="42"/>
      <c r="D133" s="43"/>
      <c r="E133" s="10"/>
      <c r="F133" s="42"/>
      <c r="G133" s="43"/>
      <c r="H133" s="10"/>
      <c r="I133" s="10"/>
      <c r="J133" s="42"/>
      <c r="K133" s="43"/>
      <c r="L133" s="43"/>
      <c r="M133" s="10"/>
      <c r="N133" s="10"/>
      <c r="O133" s="10"/>
      <c r="P133" s="10"/>
    </row>
    <row r="134" spans="1:16" x14ac:dyDescent="0.25">
      <c r="A134" s="1"/>
      <c r="B134" s="10"/>
      <c r="C134" s="42"/>
      <c r="D134" s="43"/>
      <c r="E134" s="10"/>
      <c r="F134" s="42"/>
      <c r="G134" s="43"/>
      <c r="H134" s="10"/>
      <c r="I134" s="10"/>
      <c r="J134" s="42"/>
      <c r="K134" s="43"/>
      <c r="L134" s="43"/>
      <c r="M134" s="10"/>
      <c r="N134" s="10"/>
      <c r="O134" s="10"/>
      <c r="P134" s="10"/>
    </row>
    <row r="135" spans="1:16" x14ac:dyDescent="0.25">
      <c r="A135" s="1"/>
      <c r="B135" s="10"/>
      <c r="C135" s="42"/>
      <c r="D135" s="43"/>
      <c r="E135" s="10"/>
      <c r="F135" s="42"/>
      <c r="G135" s="43"/>
      <c r="H135" s="10"/>
      <c r="I135" s="10"/>
      <c r="J135" s="42"/>
      <c r="K135" s="43"/>
      <c r="L135" s="43"/>
      <c r="M135" s="10"/>
      <c r="N135" s="10"/>
      <c r="O135" s="10"/>
      <c r="P135" s="10"/>
    </row>
    <row r="136" spans="1:16" x14ac:dyDescent="0.25">
      <c r="A136" s="1"/>
      <c r="B136" s="10"/>
      <c r="C136" s="42"/>
      <c r="D136" s="43"/>
      <c r="E136" s="10"/>
      <c r="F136" s="42"/>
      <c r="G136" s="43"/>
      <c r="H136" s="10"/>
      <c r="I136" s="10"/>
      <c r="J136" s="42"/>
      <c r="K136" s="43"/>
      <c r="L136" s="43"/>
      <c r="M136" s="10"/>
      <c r="N136" s="10"/>
      <c r="O136" s="10"/>
      <c r="P136" s="10"/>
    </row>
    <row r="137" spans="1:16" x14ac:dyDescent="0.25">
      <c r="A137" s="1"/>
      <c r="B137" s="10"/>
      <c r="C137" s="42"/>
      <c r="D137" s="43"/>
      <c r="E137" s="10"/>
      <c r="F137" s="42"/>
      <c r="G137" s="43"/>
      <c r="H137" s="10"/>
      <c r="I137" s="10"/>
      <c r="J137" s="42"/>
      <c r="K137" s="43"/>
      <c r="L137" s="43"/>
      <c r="M137" s="10"/>
      <c r="N137" s="10"/>
      <c r="O137" s="10"/>
      <c r="P137" s="10"/>
    </row>
    <row r="138" spans="1:16" x14ac:dyDescent="0.25">
      <c r="A138" s="1"/>
      <c r="B138" s="10"/>
      <c r="C138" s="42"/>
      <c r="D138" s="43"/>
      <c r="E138" s="10"/>
      <c r="F138" s="42"/>
      <c r="G138" s="43"/>
      <c r="H138" s="10"/>
      <c r="I138" s="10"/>
      <c r="J138" s="42"/>
      <c r="K138" s="43"/>
      <c r="L138" s="43"/>
      <c r="M138" s="10"/>
      <c r="N138" s="10"/>
      <c r="O138" s="10"/>
      <c r="P138" s="10"/>
    </row>
    <row r="139" spans="1:16" x14ac:dyDescent="0.25">
      <c r="A139" s="1"/>
      <c r="B139" s="10"/>
      <c r="C139" s="42"/>
      <c r="D139" s="43"/>
      <c r="E139" s="10"/>
      <c r="F139" s="42"/>
      <c r="G139" s="43"/>
      <c r="H139" s="10"/>
      <c r="I139" s="10"/>
      <c r="J139" s="42"/>
      <c r="K139" s="43"/>
      <c r="L139" s="43"/>
      <c r="M139" s="10"/>
      <c r="N139" s="10"/>
      <c r="O139" s="10"/>
      <c r="P139" s="10"/>
    </row>
    <row r="140" spans="1:16" x14ac:dyDescent="0.25">
      <c r="A140" s="1"/>
      <c r="B140" s="10"/>
      <c r="C140" s="42"/>
      <c r="D140" s="43"/>
      <c r="E140" s="10"/>
      <c r="F140" s="42"/>
      <c r="G140" s="43"/>
      <c r="H140" s="10"/>
      <c r="I140" s="10"/>
      <c r="J140" s="42"/>
      <c r="K140" s="43"/>
      <c r="L140" s="43"/>
      <c r="M140" s="10"/>
      <c r="N140" s="10"/>
      <c r="O140" s="10"/>
      <c r="P140" s="10"/>
    </row>
    <row r="141" spans="1:16" x14ac:dyDescent="0.25">
      <c r="A141" s="1"/>
      <c r="B141" s="10"/>
      <c r="C141" s="42"/>
      <c r="D141" s="43"/>
      <c r="E141" s="10"/>
      <c r="F141" s="42"/>
      <c r="G141" s="43"/>
      <c r="H141" s="10"/>
      <c r="I141" s="10"/>
      <c r="J141" s="42"/>
      <c r="K141" s="43"/>
      <c r="L141" s="43"/>
      <c r="M141" s="10"/>
      <c r="N141" s="10"/>
      <c r="O141" s="10"/>
      <c r="P141" s="10"/>
    </row>
    <row r="142" spans="1:16" x14ac:dyDescent="0.25">
      <c r="A142" s="1"/>
      <c r="B142" s="10"/>
      <c r="C142" s="42"/>
      <c r="D142" s="43"/>
      <c r="E142" s="10"/>
      <c r="F142" s="42"/>
      <c r="G142" s="43"/>
      <c r="H142" s="10"/>
      <c r="I142" s="10"/>
      <c r="J142" s="42"/>
      <c r="K142" s="43"/>
      <c r="L142" s="43"/>
      <c r="M142" s="10"/>
      <c r="N142" s="10"/>
      <c r="O142" s="10"/>
      <c r="P142" s="10"/>
    </row>
    <row r="143" spans="1:16" x14ac:dyDescent="0.25">
      <c r="A143" s="1"/>
      <c r="B143" s="10"/>
      <c r="C143" s="42"/>
      <c r="D143" s="43"/>
      <c r="E143" s="10"/>
      <c r="F143" s="42"/>
      <c r="G143" s="43"/>
      <c r="H143" s="10"/>
      <c r="I143" s="10"/>
      <c r="J143" s="42"/>
      <c r="K143" s="43"/>
      <c r="L143" s="43"/>
      <c r="M143" s="10"/>
      <c r="N143" s="10"/>
      <c r="O143" s="10"/>
      <c r="P143" s="10"/>
    </row>
    <row r="144" spans="1:16" x14ac:dyDescent="0.25">
      <c r="A144" s="1"/>
      <c r="B144" s="10"/>
      <c r="C144" s="42"/>
      <c r="D144" s="43"/>
      <c r="E144" s="10"/>
      <c r="F144" s="42"/>
      <c r="G144" s="43"/>
      <c r="H144" s="10"/>
      <c r="I144" s="10"/>
      <c r="J144" s="42"/>
      <c r="K144" s="43"/>
      <c r="L144" s="43"/>
      <c r="M144" s="10"/>
      <c r="N144" s="10"/>
      <c r="O144" s="10"/>
      <c r="P144" s="10"/>
    </row>
    <row r="145" spans="1:16" x14ac:dyDescent="0.25">
      <c r="A145" s="1"/>
      <c r="B145" s="10"/>
      <c r="C145" s="42"/>
      <c r="D145" s="43"/>
      <c r="E145" s="10"/>
      <c r="F145" s="42"/>
      <c r="G145" s="43"/>
      <c r="H145" s="10"/>
      <c r="I145" s="10"/>
      <c r="J145" s="42"/>
      <c r="K145" s="43"/>
      <c r="L145" s="43"/>
      <c r="M145" s="10"/>
      <c r="N145" s="10"/>
      <c r="O145" s="10"/>
      <c r="P145" s="10"/>
    </row>
    <row r="146" spans="1:16" x14ac:dyDescent="0.25">
      <c r="A146" s="1"/>
      <c r="B146" s="10"/>
      <c r="C146" s="42"/>
      <c r="D146" s="43"/>
      <c r="E146" s="10"/>
      <c r="F146" s="42"/>
      <c r="G146" s="43"/>
      <c r="H146" s="10"/>
      <c r="I146" s="10"/>
      <c r="J146" s="42"/>
      <c r="K146" s="43"/>
      <c r="L146" s="43"/>
      <c r="M146" s="10"/>
      <c r="N146" s="10"/>
      <c r="O146" s="10"/>
      <c r="P146" s="10"/>
    </row>
    <row r="147" spans="1:16" x14ac:dyDescent="0.25">
      <c r="A147" s="1"/>
      <c r="B147" s="10"/>
      <c r="C147" s="42"/>
      <c r="D147" s="43"/>
      <c r="E147" s="10"/>
      <c r="F147" s="42"/>
      <c r="G147" s="43"/>
      <c r="H147" s="10"/>
      <c r="I147" s="10"/>
      <c r="J147" s="42"/>
      <c r="K147" s="43"/>
      <c r="L147" s="43"/>
      <c r="M147" s="10"/>
      <c r="N147" s="10"/>
      <c r="O147" s="10"/>
      <c r="P147" s="10"/>
    </row>
    <row r="148" spans="1:16" x14ac:dyDescent="0.25">
      <c r="A148" s="1"/>
      <c r="B148" s="10"/>
      <c r="C148" s="42"/>
      <c r="D148" s="43"/>
      <c r="E148" s="10"/>
      <c r="F148" s="42"/>
      <c r="G148" s="43"/>
      <c r="H148" s="10"/>
      <c r="I148" s="10"/>
      <c r="J148" s="42"/>
      <c r="K148" s="43"/>
      <c r="L148" s="43"/>
      <c r="M148" s="10"/>
      <c r="N148" s="10"/>
      <c r="O148" s="10"/>
      <c r="P148" s="10"/>
    </row>
    <row r="149" spans="1:16" x14ac:dyDescent="0.25">
      <c r="A149" s="1"/>
      <c r="B149" s="10"/>
      <c r="C149" s="42"/>
      <c r="D149" s="43"/>
      <c r="E149" s="10"/>
      <c r="F149" s="42"/>
      <c r="G149" s="43"/>
      <c r="H149" s="10"/>
      <c r="I149" s="10"/>
      <c r="J149" s="42"/>
      <c r="K149" s="43"/>
      <c r="L149" s="43"/>
      <c r="M149" s="10"/>
      <c r="N149" s="10"/>
      <c r="O149" s="10"/>
      <c r="P149" s="10"/>
    </row>
    <row r="150" spans="1:16" x14ac:dyDescent="0.25">
      <c r="A150" s="1"/>
      <c r="B150" s="10"/>
      <c r="C150" s="42"/>
      <c r="D150" s="43"/>
      <c r="E150" s="10"/>
      <c r="F150" s="42"/>
      <c r="G150" s="43"/>
      <c r="H150" s="10"/>
      <c r="I150" s="10"/>
      <c r="J150" s="42"/>
      <c r="K150" s="43"/>
      <c r="L150" s="43"/>
      <c r="M150" s="10"/>
      <c r="N150" s="10"/>
      <c r="O150" s="10"/>
      <c r="P150" s="10"/>
    </row>
    <row r="151" spans="1:16" x14ac:dyDescent="0.25">
      <c r="A151" s="1"/>
      <c r="B151" s="10"/>
      <c r="C151" s="42"/>
      <c r="D151" s="43"/>
      <c r="E151" s="10"/>
      <c r="F151" s="42"/>
      <c r="G151" s="43"/>
      <c r="H151" s="10"/>
      <c r="I151" s="10"/>
      <c r="J151" s="42"/>
      <c r="K151" s="43"/>
      <c r="L151" s="43"/>
      <c r="M151" s="10"/>
      <c r="N151" s="10"/>
      <c r="O151" s="10"/>
      <c r="P151" s="10"/>
    </row>
    <row r="152" spans="1:16" x14ac:dyDescent="0.25">
      <c r="A152" s="1"/>
      <c r="B152" s="10"/>
      <c r="C152" s="42"/>
      <c r="D152" s="43"/>
      <c r="E152" s="10"/>
      <c r="F152" s="42"/>
      <c r="G152" s="43"/>
      <c r="H152" s="10"/>
      <c r="I152" s="10"/>
      <c r="J152" s="42"/>
      <c r="K152" s="43"/>
      <c r="L152" s="43"/>
      <c r="M152" s="10"/>
      <c r="N152" s="10"/>
      <c r="O152" s="10"/>
      <c r="P152" s="10"/>
    </row>
    <row r="153" spans="1:16" x14ac:dyDescent="0.25">
      <c r="A153" s="1"/>
      <c r="B153" s="10"/>
      <c r="C153" s="42"/>
      <c r="D153" s="43"/>
      <c r="E153" s="10"/>
      <c r="F153" s="42"/>
      <c r="G153" s="43"/>
      <c r="H153" s="10"/>
      <c r="I153" s="10"/>
      <c r="J153" s="42"/>
      <c r="K153" s="43"/>
      <c r="L153" s="43"/>
      <c r="M153" s="10"/>
      <c r="N153" s="10"/>
      <c r="O153" s="10"/>
      <c r="P153" s="10"/>
    </row>
    <row r="154" spans="1:16" x14ac:dyDescent="0.25">
      <c r="A154" s="1"/>
      <c r="B154" s="10"/>
      <c r="C154" s="42"/>
      <c r="D154" s="43"/>
      <c r="E154" s="10"/>
      <c r="F154" s="42"/>
      <c r="G154" s="43"/>
      <c r="H154" s="10"/>
      <c r="I154" s="10"/>
      <c r="J154" s="42"/>
      <c r="K154" s="43"/>
      <c r="L154" s="43"/>
      <c r="M154" s="10"/>
      <c r="N154" s="10"/>
      <c r="O154" s="10"/>
      <c r="P154" s="10"/>
    </row>
    <row r="155" spans="1:16" x14ac:dyDescent="0.25">
      <c r="A155" s="1"/>
      <c r="B155" s="10"/>
      <c r="C155" s="42"/>
      <c r="D155" s="43"/>
      <c r="E155" s="10"/>
      <c r="F155" s="42"/>
      <c r="G155" s="43"/>
      <c r="H155" s="10"/>
      <c r="I155" s="10"/>
      <c r="J155" s="42"/>
      <c r="K155" s="43"/>
      <c r="L155" s="43"/>
      <c r="M155" s="10"/>
      <c r="N155" s="10"/>
      <c r="O155" s="10"/>
      <c r="P155" s="10"/>
    </row>
    <row r="156" spans="1:16" x14ac:dyDescent="0.25">
      <c r="A156" s="1"/>
      <c r="B156" s="10"/>
      <c r="C156" s="42"/>
      <c r="D156" s="43"/>
      <c r="E156" s="10"/>
      <c r="F156" s="42"/>
      <c r="G156" s="43"/>
      <c r="H156" s="10"/>
      <c r="I156" s="10"/>
      <c r="J156" s="42"/>
      <c r="K156" s="43"/>
      <c r="L156" s="43"/>
      <c r="M156" s="10"/>
      <c r="N156" s="10"/>
      <c r="O156" s="10"/>
      <c r="P156" s="10"/>
    </row>
    <row r="157" spans="1:16" x14ac:dyDescent="0.25">
      <c r="A157" s="1"/>
      <c r="B157" s="10"/>
      <c r="C157" s="42"/>
      <c r="D157" s="43"/>
      <c r="E157" s="10"/>
      <c r="F157" s="42"/>
      <c r="G157" s="43"/>
      <c r="H157" s="10"/>
      <c r="I157" s="10"/>
      <c r="J157" s="42"/>
      <c r="K157" s="43"/>
      <c r="L157" s="43"/>
      <c r="M157" s="10"/>
      <c r="N157" s="10"/>
      <c r="O157" s="10"/>
      <c r="P157" s="10"/>
    </row>
    <row r="158" spans="1:16" x14ac:dyDescent="0.25">
      <c r="A158" s="1"/>
      <c r="B158" s="10"/>
      <c r="C158" s="42"/>
      <c r="D158" s="43"/>
      <c r="E158" s="10"/>
      <c r="F158" s="42"/>
      <c r="G158" s="43"/>
      <c r="H158" s="10"/>
      <c r="I158" s="10"/>
      <c r="J158" s="42"/>
      <c r="K158" s="43"/>
      <c r="L158" s="43"/>
      <c r="M158" s="10"/>
      <c r="N158" s="10"/>
      <c r="O158" s="10"/>
      <c r="P158" s="10"/>
    </row>
    <row r="159" spans="1:16" x14ac:dyDescent="0.25">
      <c r="A159" s="1"/>
      <c r="B159" s="10"/>
      <c r="C159" s="42"/>
      <c r="D159" s="43"/>
      <c r="E159" s="10"/>
      <c r="F159" s="42"/>
      <c r="G159" s="43"/>
      <c r="H159" s="10"/>
      <c r="I159" s="10"/>
      <c r="J159" s="42"/>
      <c r="K159" s="43"/>
      <c r="L159" s="43"/>
      <c r="M159" s="10"/>
      <c r="N159" s="10"/>
      <c r="O159" s="10"/>
      <c r="P159" s="10"/>
    </row>
    <row r="160" spans="1:16" x14ac:dyDescent="0.25">
      <c r="A160" s="1"/>
      <c r="B160" s="10"/>
      <c r="C160" s="42"/>
      <c r="D160" s="43"/>
      <c r="E160" s="10"/>
      <c r="F160" s="42"/>
      <c r="G160" s="43"/>
      <c r="H160" s="10"/>
      <c r="I160" s="10"/>
      <c r="J160" s="42"/>
      <c r="K160" s="43"/>
      <c r="L160" s="43"/>
      <c r="M160" s="10"/>
      <c r="N160" s="10"/>
      <c r="O160" s="10"/>
      <c r="P160" s="10"/>
    </row>
    <row r="161" spans="1:16" x14ac:dyDescent="0.25">
      <c r="A161" s="1"/>
      <c r="B161" s="10"/>
      <c r="C161" s="42"/>
      <c r="D161" s="43"/>
      <c r="E161" s="10"/>
      <c r="F161" s="42"/>
      <c r="G161" s="43"/>
      <c r="H161" s="10"/>
      <c r="I161" s="10"/>
      <c r="J161" s="42"/>
      <c r="K161" s="43"/>
      <c r="L161" s="43"/>
      <c r="M161" s="10"/>
      <c r="N161" s="10"/>
      <c r="O161" s="10"/>
      <c r="P161" s="10"/>
    </row>
    <row r="162" spans="1:16" x14ac:dyDescent="0.25">
      <c r="A162" s="1"/>
      <c r="B162" s="10"/>
      <c r="C162" s="42"/>
      <c r="D162" s="43"/>
      <c r="E162" s="10"/>
      <c r="F162" s="42"/>
      <c r="G162" s="43"/>
      <c r="H162" s="10"/>
      <c r="I162" s="10"/>
      <c r="J162" s="42"/>
      <c r="K162" s="43"/>
      <c r="L162" s="43"/>
      <c r="M162" s="10"/>
      <c r="N162" s="10"/>
      <c r="O162" s="10"/>
      <c r="P162" s="10"/>
    </row>
    <row r="163" spans="1:16" x14ac:dyDescent="0.25">
      <c r="A163" s="1"/>
      <c r="B163" s="10"/>
      <c r="C163" s="42"/>
      <c r="D163" s="43"/>
      <c r="E163" s="10"/>
      <c r="F163" s="42"/>
      <c r="G163" s="43"/>
      <c r="H163" s="10"/>
      <c r="I163" s="10"/>
      <c r="J163" s="42"/>
      <c r="K163" s="43"/>
      <c r="L163" s="43"/>
      <c r="M163" s="10"/>
      <c r="N163" s="10"/>
      <c r="O163" s="10"/>
      <c r="P163" s="10"/>
    </row>
    <row r="164" spans="1:16" x14ac:dyDescent="0.25">
      <c r="A164" s="1"/>
      <c r="B164" s="10"/>
      <c r="C164" s="42"/>
      <c r="D164" s="43"/>
      <c r="E164" s="10"/>
      <c r="F164" s="42"/>
      <c r="G164" s="43"/>
      <c r="H164" s="10"/>
      <c r="I164" s="10"/>
      <c r="J164" s="42"/>
      <c r="K164" s="43"/>
      <c r="L164" s="43"/>
      <c r="M164" s="10"/>
      <c r="N164" s="10"/>
      <c r="O164" s="10"/>
      <c r="P164" s="10"/>
    </row>
    <row r="165" spans="1:16" x14ac:dyDescent="0.25">
      <c r="A165" s="1"/>
      <c r="B165" s="10"/>
      <c r="C165" s="42"/>
      <c r="D165" s="43"/>
      <c r="E165" s="10"/>
      <c r="F165" s="42"/>
      <c r="G165" s="43"/>
      <c r="H165" s="10"/>
      <c r="I165" s="10"/>
      <c r="J165" s="42"/>
      <c r="K165" s="43"/>
      <c r="L165" s="43"/>
      <c r="M165" s="10"/>
      <c r="N165" s="10"/>
      <c r="O165" s="10"/>
      <c r="P165" s="10"/>
    </row>
    <row r="166" spans="1:16" x14ac:dyDescent="0.25">
      <c r="A166" s="1"/>
      <c r="B166" s="10"/>
      <c r="C166" s="42"/>
      <c r="D166" s="43"/>
      <c r="E166" s="10"/>
      <c r="F166" s="42"/>
      <c r="G166" s="43"/>
      <c r="H166" s="10"/>
      <c r="I166" s="10"/>
      <c r="J166" s="42"/>
      <c r="K166" s="43"/>
      <c r="L166" s="43"/>
      <c r="M166" s="10"/>
      <c r="N166" s="10"/>
      <c r="O166" s="10"/>
      <c r="P166" s="10"/>
    </row>
    <row r="167" spans="1:16" x14ac:dyDescent="0.25">
      <c r="A167" s="1"/>
      <c r="B167" s="10"/>
      <c r="C167" s="42"/>
      <c r="D167" s="43"/>
      <c r="E167" s="10"/>
      <c r="F167" s="42"/>
      <c r="G167" s="43"/>
      <c r="H167" s="10"/>
      <c r="I167" s="10"/>
      <c r="J167" s="42"/>
      <c r="K167" s="43"/>
      <c r="L167" s="43"/>
      <c r="M167" s="10"/>
      <c r="N167" s="10"/>
      <c r="O167" s="10"/>
      <c r="P167" s="10"/>
    </row>
    <row r="168" spans="1:16" x14ac:dyDescent="0.25">
      <c r="A168" s="1"/>
      <c r="B168" s="10"/>
      <c r="C168" s="42"/>
      <c r="D168" s="43"/>
      <c r="E168" s="10"/>
      <c r="F168" s="42"/>
      <c r="G168" s="43"/>
      <c r="H168" s="10"/>
      <c r="I168" s="10"/>
      <c r="J168" s="42"/>
      <c r="K168" s="43"/>
      <c r="L168" s="43"/>
      <c r="M168" s="10"/>
      <c r="N168" s="10"/>
      <c r="O168" s="10"/>
      <c r="P168" s="10"/>
    </row>
    <row r="169" spans="1:16" x14ac:dyDescent="0.25">
      <c r="A169" s="1"/>
      <c r="B169" s="10"/>
      <c r="C169" s="42"/>
      <c r="D169" s="43"/>
      <c r="E169" s="10"/>
      <c r="F169" s="42"/>
      <c r="G169" s="43"/>
      <c r="H169" s="10"/>
      <c r="I169" s="10"/>
      <c r="J169" s="42"/>
      <c r="K169" s="43"/>
      <c r="L169" s="43"/>
      <c r="M169" s="10"/>
      <c r="N169" s="10"/>
      <c r="O169" s="10"/>
      <c r="P169" s="10"/>
    </row>
    <row r="170" spans="1:16" x14ac:dyDescent="0.25">
      <c r="A170" s="1"/>
      <c r="B170" s="10"/>
      <c r="C170" s="42"/>
      <c r="D170" s="43"/>
      <c r="E170" s="10"/>
      <c r="F170" s="42"/>
      <c r="G170" s="43"/>
      <c r="H170" s="10"/>
      <c r="I170" s="10"/>
      <c r="J170" s="42"/>
      <c r="K170" s="43"/>
      <c r="L170" s="43"/>
      <c r="M170" s="10"/>
      <c r="N170" s="10"/>
      <c r="O170" s="10"/>
      <c r="P170" s="10"/>
    </row>
    <row r="171" spans="1:16" x14ac:dyDescent="0.25">
      <c r="A171" s="1"/>
      <c r="B171" s="10"/>
      <c r="C171" s="42"/>
      <c r="D171" s="43"/>
      <c r="E171" s="10"/>
      <c r="F171" s="42"/>
      <c r="G171" s="43"/>
      <c r="H171" s="10"/>
      <c r="I171" s="10"/>
      <c r="J171" s="42"/>
      <c r="K171" s="43"/>
      <c r="L171" s="43"/>
      <c r="M171" s="10"/>
      <c r="N171" s="10"/>
      <c r="O171" s="10"/>
      <c r="P171" s="10"/>
    </row>
    <row r="172" spans="1:16" x14ac:dyDescent="0.25">
      <c r="A172" s="1"/>
      <c r="B172" s="10"/>
      <c r="C172" s="42"/>
      <c r="D172" s="43"/>
      <c r="E172" s="10"/>
      <c r="F172" s="42"/>
      <c r="G172" s="43"/>
      <c r="H172" s="10"/>
      <c r="I172" s="10"/>
      <c r="J172" s="42"/>
      <c r="K172" s="43"/>
      <c r="L172" s="43"/>
      <c r="M172" s="10"/>
      <c r="N172" s="10"/>
      <c r="O172" s="10"/>
      <c r="P172" s="10"/>
    </row>
    <row r="173" spans="1:16" x14ac:dyDescent="0.25">
      <c r="A173" s="1"/>
      <c r="B173" s="10"/>
      <c r="C173" s="42"/>
      <c r="D173" s="43"/>
      <c r="E173" s="10"/>
      <c r="F173" s="42"/>
      <c r="G173" s="43"/>
      <c r="H173" s="10"/>
      <c r="I173" s="10"/>
      <c r="J173" s="42"/>
      <c r="K173" s="43"/>
      <c r="L173" s="43"/>
      <c r="M173" s="10"/>
      <c r="N173" s="10"/>
      <c r="O173" s="10"/>
      <c r="P173" s="10"/>
    </row>
    <row r="174" spans="1:16" x14ac:dyDescent="0.25">
      <c r="A174" s="1"/>
      <c r="B174" s="10"/>
      <c r="C174" s="42"/>
      <c r="D174" s="43"/>
      <c r="E174" s="10"/>
      <c r="F174" s="42"/>
      <c r="G174" s="43"/>
      <c r="H174" s="10"/>
      <c r="I174" s="10"/>
      <c r="J174" s="42"/>
      <c r="K174" s="43"/>
      <c r="L174" s="43"/>
      <c r="M174" s="10"/>
      <c r="N174" s="10"/>
      <c r="O174" s="10"/>
      <c r="P174" s="10"/>
    </row>
    <row r="175" spans="1:16" x14ac:dyDescent="0.25">
      <c r="A175" s="1"/>
      <c r="B175" s="10"/>
      <c r="C175" s="42"/>
      <c r="D175" s="43"/>
      <c r="E175" s="10"/>
      <c r="F175" s="42"/>
      <c r="G175" s="43"/>
      <c r="H175" s="10"/>
      <c r="I175" s="10"/>
      <c r="J175" s="42"/>
      <c r="K175" s="43"/>
      <c r="L175" s="43"/>
      <c r="M175" s="10"/>
      <c r="N175" s="10"/>
      <c r="O175" s="10"/>
      <c r="P175" s="10"/>
    </row>
    <row r="176" spans="1:16" x14ac:dyDescent="0.25">
      <c r="A176" s="1"/>
      <c r="B176" s="10"/>
      <c r="C176" s="42"/>
      <c r="D176" s="43"/>
      <c r="E176" s="10"/>
      <c r="F176" s="42"/>
      <c r="G176" s="43"/>
      <c r="H176" s="10"/>
      <c r="I176" s="10"/>
      <c r="J176" s="42"/>
      <c r="K176" s="43"/>
      <c r="L176" s="43"/>
      <c r="M176" s="10"/>
      <c r="N176" s="10"/>
      <c r="O176" s="10"/>
      <c r="P176" s="10"/>
    </row>
    <row r="177" spans="1:16" x14ac:dyDescent="0.25">
      <c r="A177" s="1"/>
      <c r="B177" s="10"/>
      <c r="C177" s="42"/>
      <c r="D177" s="43"/>
      <c r="E177" s="10"/>
      <c r="F177" s="42"/>
      <c r="G177" s="43"/>
      <c r="H177" s="10"/>
      <c r="I177" s="10"/>
      <c r="J177" s="42"/>
      <c r="K177" s="43"/>
      <c r="L177" s="43"/>
      <c r="M177" s="10"/>
      <c r="N177" s="10"/>
      <c r="O177" s="10"/>
      <c r="P177" s="10"/>
    </row>
    <row r="178" spans="1:16" x14ac:dyDescent="0.25">
      <c r="A178" s="1"/>
      <c r="B178" s="10"/>
      <c r="C178" s="42"/>
      <c r="D178" s="43"/>
      <c r="E178" s="10"/>
      <c r="F178" s="42"/>
      <c r="G178" s="43"/>
      <c r="H178" s="10"/>
      <c r="I178" s="10"/>
      <c r="J178" s="42"/>
      <c r="K178" s="43"/>
      <c r="L178" s="43"/>
      <c r="M178" s="10"/>
      <c r="N178" s="10"/>
      <c r="O178" s="10"/>
      <c r="P178" s="10"/>
    </row>
    <row r="179" spans="1:16" x14ac:dyDescent="0.25">
      <c r="A179" s="1"/>
      <c r="B179" s="10"/>
      <c r="C179" s="42"/>
      <c r="D179" s="43"/>
      <c r="E179" s="10"/>
      <c r="F179" s="42"/>
      <c r="G179" s="43"/>
      <c r="H179" s="10"/>
      <c r="I179" s="10"/>
      <c r="J179" s="42"/>
      <c r="K179" s="43"/>
      <c r="L179" s="43"/>
      <c r="M179" s="10"/>
      <c r="N179" s="10"/>
      <c r="O179" s="10"/>
      <c r="P179" s="10"/>
    </row>
    <row r="180" spans="1:16" x14ac:dyDescent="0.25">
      <c r="A180" s="1"/>
      <c r="B180" s="10"/>
      <c r="C180" s="42"/>
      <c r="D180" s="43"/>
      <c r="E180" s="10"/>
      <c r="F180" s="42"/>
      <c r="G180" s="43"/>
      <c r="H180" s="10"/>
      <c r="I180" s="10"/>
      <c r="J180" s="42"/>
      <c r="K180" s="43"/>
      <c r="L180" s="43"/>
      <c r="M180" s="10"/>
      <c r="N180" s="10"/>
      <c r="O180" s="10"/>
      <c r="P180" s="10"/>
    </row>
    <row r="181" spans="1:16" x14ac:dyDescent="0.25">
      <c r="A181" s="1"/>
      <c r="B181" s="10"/>
      <c r="C181" s="42"/>
      <c r="D181" s="43"/>
      <c r="E181" s="10"/>
      <c r="F181" s="42"/>
      <c r="G181" s="43"/>
      <c r="H181" s="10"/>
      <c r="I181" s="10"/>
      <c r="J181" s="42"/>
      <c r="K181" s="43"/>
      <c r="L181" s="43"/>
      <c r="M181" s="10"/>
      <c r="N181" s="10"/>
      <c r="O181" s="10"/>
      <c r="P181" s="10"/>
    </row>
    <row r="182" spans="1:16" x14ac:dyDescent="0.25">
      <c r="A182" s="1"/>
      <c r="B182" s="10"/>
      <c r="C182" s="42"/>
      <c r="D182" s="43"/>
      <c r="E182" s="10"/>
      <c r="F182" s="42"/>
      <c r="G182" s="43"/>
      <c r="H182" s="10"/>
      <c r="I182" s="10"/>
      <c r="J182" s="42"/>
      <c r="K182" s="43"/>
      <c r="L182" s="43"/>
      <c r="M182" s="10"/>
      <c r="N182" s="10"/>
      <c r="O182" s="10"/>
      <c r="P182" s="10"/>
    </row>
    <row r="183" spans="1:16" x14ac:dyDescent="0.25">
      <c r="A183" s="1"/>
      <c r="B183" s="10"/>
      <c r="C183" s="42"/>
      <c r="D183" s="43"/>
      <c r="E183" s="10"/>
      <c r="F183" s="42"/>
      <c r="G183" s="43"/>
      <c r="H183" s="10"/>
      <c r="I183" s="10"/>
      <c r="J183" s="42"/>
      <c r="K183" s="43"/>
      <c r="L183" s="43"/>
      <c r="M183" s="10"/>
      <c r="N183" s="10"/>
      <c r="O183" s="10"/>
      <c r="P183" s="10"/>
    </row>
    <row r="184" spans="1:16" x14ac:dyDescent="0.25">
      <c r="A184" s="1"/>
      <c r="B184" s="10"/>
      <c r="C184" s="42"/>
      <c r="D184" s="43"/>
      <c r="E184" s="10"/>
      <c r="F184" s="42"/>
      <c r="G184" s="43"/>
      <c r="H184" s="10"/>
      <c r="I184" s="10"/>
      <c r="J184" s="42"/>
      <c r="K184" s="43"/>
      <c r="L184" s="43"/>
      <c r="M184" s="10"/>
      <c r="N184" s="10"/>
      <c r="O184" s="10"/>
      <c r="P184" s="10"/>
    </row>
    <row r="185" spans="1:16" x14ac:dyDescent="0.25">
      <c r="A185" s="1"/>
      <c r="B185" s="10"/>
      <c r="C185" s="42"/>
      <c r="D185" s="43"/>
      <c r="E185" s="10"/>
      <c r="F185" s="42"/>
      <c r="G185" s="43"/>
      <c r="H185" s="10"/>
      <c r="I185" s="10"/>
      <c r="J185" s="42"/>
      <c r="K185" s="43"/>
      <c r="L185" s="43"/>
      <c r="M185" s="10"/>
      <c r="N185" s="10"/>
      <c r="O185" s="10"/>
      <c r="P185" s="10"/>
    </row>
    <row r="186" spans="1:16" x14ac:dyDescent="0.25">
      <c r="A186" s="1"/>
      <c r="B186" s="10"/>
      <c r="C186" s="42"/>
      <c r="D186" s="43"/>
      <c r="E186" s="10"/>
      <c r="F186" s="42"/>
      <c r="G186" s="43"/>
      <c r="H186" s="10"/>
      <c r="I186" s="10"/>
      <c r="J186" s="42"/>
      <c r="K186" s="43"/>
      <c r="L186" s="43"/>
      <c r="M186" s="10"/>
      <c r="N186" s="10"/>
      <c r="O186" s="10"/>
      <c r="P186" s="10"/>
    </row>
    <row r="187" spans="1:16" x14ac:dyDescent="0.25">
      <c r="A187" s="1"/>
      <c r="B187" s="10"/>
      <c r="C187" s="42"/>
      <c r="D187" s="43"/>
      <c r="E187" s="10"/>
      <c r="F187" s="42"/>
      <c r="G187" s="43"/>
      <c r="H187" s="10"/>
      <c r="I187" s="10"/>
      <c r="J187" s="42"/>
      <c r="K187" s="43"/>
      <c r="L187" s="43"/>
      <c r="M187" s="10"/>
      <c r="N187" s="10"/>
      <c r="O187" s="10"/>
      <c r="P187" s="10"/>
    </row>
    <row r="188" spans="1:16" x14ac:dyDescent="0.25">
      <c r="A188" s="1"/>
      <c r="B188" s="10"/>
      <c r="C188" s="42"/>
      <c r="D188" s="43"/>
      <c r="E188" s="10"/>
      <c r="F188" s="42"/>
      <c r="G188" s="43"/>
      <c r="H188" s="10"/>
      <c r="I188" s="10"/>
      <c r="J188" s="42"/>
      <c r="K188" s="43"/>
      <c r="L188" s="43"/>
      <c r="M188" s="10"/>
      <c r="N188" s="10"/>
      <c r="O188" s="10"/>
      <c r="P188" s="10"/>
    </row>
    <row r="189" spans="1:16" x14ac:dyDescent="0.25">
      <c r="A189" s="1"/>
      <c r="B189" s="10"/>
      <c r="C189" s="42"/>
      <c r="D189" s="43"/>
      <c r="E189" s="10"/>
      <c r="F189" s="42"/>
      <c r="G189" s="43"/>
      <c r="H189" s="10"/>
      <c r="I189" s="10"/>
      <c r="J189" s="42"/>
      <c r="K189" s="43"/>
      <c r="L189" s="43"/>
      <c r="M189" s="10"/>
      <c r="N189" s="10"/>
      <c r="O189" s="10"/>
      <c r="P189" s="10"/>
    </row>
    <row r="190" spans="1:16" x14ac:dyDescent="0.25">
      <c r="A190" s="1"/>
      <c r="B190" s="10"/>
      <c r="C190" s="42"/>
      <c r="D190" s="43"/>
      <c r="E190" s="10"/>
      <c r="F190" s="42"/>
      <c r="G190" s="43"/>
      <c r="H190" s="10"/>
      <c r="I190" s="10"/>
      <c r="J190" s="42"/>
      <c r="K190" s="43"/>
      <c r="L190" s="43"/>
      <c r="M190" s="10"/>
      <c r="N190" s="10"/>
      <c r="O190" s="10"/>
      <c r="P190" s="10"/>
    </row>
    <row r="191" spans="1:16" x14ac:dyDescent="0.25">
      <c r="A191" s="1"/>
      <c r="B191" s="10"/>
      <c r="C191" s="42"/>
      <c r="D191" s="43"/>
      <c r="E191" s="10"/>
      <c r="F191" s="42"/>
      <c r="G191" s="43"/>
      <c r="H191" s="10"/>
      <c r="I191" s="10"/>
      <c r="J191" s="42"/>
      <c r="K191" s="43"/>
      <c r="L191" s="43"/>
      <c r="M191" s="10"/>
      <c r="N191" s="10"/>
      <c r="O191" s="10"/>
      <c r="P191" s="10"/>
    </row>
    <row r="192" spans="1:16" x14ac:dyDescent="0.25">
      <c r="A192" s="1"/>
      <c r="B192" s="10"/>
      <c r="C192" s="42"/>
      <c r="D192" s="43"/>
      <c r="E192" s="10"/>
      <c r="F192" s="42"/>
      <c r="G192" s="43"/>
      <c r="H192" s="10"/>
      <c r="I192" s="10"/>
      <c r="J192" s="42"/>
      <c r="K192" s="43"/>
      <c r="L192" s="43"/>
      <c r="M192" s="10"/>
      <c r="N192" s="10"/>
      <c r="O192" s="10"/>
      <c r="P192" s="10"/>
    </row>
    <row r="193" spans="1:16" x14ac:dyDescent="0.25">
      <c r="A193" s="1"/>
      <c r="B193" s="10"/>
      <c r="C193" s="42"/>
      <c r="D193" s="43"/>
      <c r="E193" s="10"/>
      <c r="F193" s="42"/>
      <c r="G193" s="43"/>
      <c r="H193" s="10"/>
      <c r="I193" s="10"/>
      <c r="J193" s="42"/>
      <c r="K193" s="43"/>
      <c r="L193" s="43"/>
      <c r="M193" s="10"/>
      <c r="N193" s="10"/>
      <c r="O193" s="10"/>
      <c r="P193" s="10"/>
    </row>
    <row r="194" spans="1:16" x14ac:dyDescent="0.25">
      <c r="A194" s="1"/>
      <c r="B194" s="10"/>
      <c r="C194" s="42"/>
      <c r="D194" s="43"/>
      <c r="E194" s="10"/>
      <c r="F194" s="42"/>
      <c r="G194" s="43"/>
      <c r="H194" s="10"/>
      <c r="I194" s="10"/>
      <c r="J194" s="42"/>
      <c r="K194" s="43"/>
      <c r="L194" s="43"/>
      <c r="M194" s="10"/>
      <c r="N194" s="10"/>
      <c r="O194" s="10"/>
      <c r="P194" s="10"/>
    </row>
    <row r="195" spans="1:16" x14ac:dyDescent="0.25">
      <c r="A195" s="1"/>
      <c r="B195" s="10"/>
      <c r="C195" s="42"/>
      <c r="D195" s="43"/>
      <c r="E195" s="10"/>
      <c r="F195" s="42"/>
      <c r="G195" s="43"/>
      <c r="H195" s="10"/>
      <c r="I195" s="10"/>
      <c r="J195" s="42"/>
      <c r="K195" s="43"/>
      <c r="L195" s="43"/>
      <c r="M195" s="10"/>
      <c r="N195" s="10"/>
      <c r="O195" s="10"/>
      <c r="P195" s="10"/>
    </row>
    <row r="196" spans="1:16" x14ac:dyDescent="0.25">
      <c r="A196" s="1"/>
      <c r="B196" s="10"/>
      <c r="C196" s="42"/>
      <c r="D196" s="43"/>
      <c r="E196" s="10"/>
      <c r="F196" s="42"/>
      <c r="G196" s="43"/>
      <c r="H196" s="10"/>
      <c r="I196" s="10"/>
      <c r="J196" s="42"/>
      <c r="K196" s="43"/>
      <c r="L196" s="43"/>
      <c r="M196" s="10"/>
      <c r="N196" s="10"/>
      <c r="O196" s="10"/>
      <c r="P196" s="10"/>
    </row>
    <row r="197" spans="1:16" x14ac:dyDescent="0.25">
      <c r="A197" s="1"/>
      <c r="B197" s="10"/>
      <c r="C197" s="42"/>
      <c r="D197" s="43"/>
      <c r="E197" s="10"/>
      <c r="F197" s="42"/>
      <c r="G197" s="43"/>
      <c r="H197" s="10"/>
      <c r="I197" s="10"/>
      <c r="J197" s="42"/>
      <c r="K197" s="43"/>
      <c r="L197" s="43"/>
      <c r="M197" s="10"/>
      <c r="N197" s="10"/>
      <c r="O197" s="10"/>
      <c r="P197" s="10"/>
    </row>
    <row r="198" spans="1:16" x14ac:dyDescent="0.25">
      <c r="A198" s="1"/>
      <c r="B198" s="10"/>
      <c r="C198" s="42"/>
      <c r="D198" s="43"/>
      <c r="E198" s="10"/>
      <c r="F198" s="42"/>
      <c r="G198" s="43"/>
      <c r="H198" s="10"/>
      <c r="I198" s="10"/>
      <c r="J198" s="42"/>
      <c r="K198" s="43"/>
      <c r="L198" s="43"/>
      <c r="M198" s="10"/>
      <c r="N198" s="10"/>
      <c r="O198" s="10"/>
      <c r="P198" s="10"/>
    </row>
    <row r="199" spans="1:16" x14ac:dyDescent="0.25">
      <c r="A199" s="1"/>
      <c r="B199" s="10"/>
      <c r="C199" s="42"/>
      <c r="D199" s="43"/>
      <c r="E199" s="10"/>
      <c r="F199" s="42"/>
      <c r="G199" s="43"/>
      <c r="H199" s="10"/>
      <c r="I199" s="10"/>
      <c r="J199" s="42"/>
      <c r="K199" s="43"/>
      <c r="L199" s="43"/>
      <c r="M199" s="10"/>
      <c r="N199" s="10"/>
      <c r="O199" s="10"/>
      <c r="P199" s="10"/>
    </row>
    <row r="200" spans="1:16" x14ac:dyDescent="0.25">
      <c r="A200" s="1"/>
      <c r="B200" s="10"/>
      <c r="C200" s="42"/>
      <c r="D200" s="43"/>
      <c r="E200" s="10"/>
      <c r="F200" s="42"/>
      <c r="G200" s="43"/>
      <c r="H200" s="10"/>
      <c r="I200" s="10"/>
      <c r="J200" s="42"/>
      <c r="K200" s="43"/>
      <c r="L200" s="43"/>
      <c r="M200" s="10"/>
      <c r="N200" s="10"/>
      <c r="O200" s="10"/>
      <c r="P200" s="10"/>
    </row>
    <row r="201" spans="1:16" x14ac:dyDescent="0.25">
      <c r="A201" s="1"/>
      <c r="B201" s="10"/>
      <c r="C201" s="42"/>
      <c r="D201" s="43"/>
      <c r="E201" s="10"/>
      <c r="F201" s="42"/>
      <c r="G201" s="43"/>
      <c r="H201" s="10"/>
      <c r="I201" s="10"/>
      <c r="J201" s="42"/>
      <c r="K201" s="43"/>
      <c r="L201" s="43"/>
      <c r="M201" s="10"/>
      <c r="N201" s="10"/>
      <c r="O201" s="10"/>
      <c r="P201" s="10"/>
    </row>
    <row r="202" spans="1:16" x14ac:dyDescent="0.25">
      <c r="A202" s="1"/>
      <c r="B202" s="10"/>
      <c r="C202" s="42"/>
      <c r="D202" s="43"/>
      <c r="E202" s="10"/>
      <c r="F202" s="42"/>
      <c r="G202" s="43"/>
      <c r="H202" s="10"/>
      <c r="I202" s="10"/>
      <c r="J202" s="42"/>
      <c r="K202" s="43"/>
      <c r="L202" s="43"/>
      <c r="M202" s="10"/>
      <c r="N202" s="10"/>
      <c r="O202" s="10"/>
      <c r="P202" s="10"/>
    </row>
    <row r="203" spans="1:16" x14ac:dyDescent="0.25">
      <c r="A203" s="1"/>
      <c r="B203" s="10"/>
      <c r="C203" s="42"/>
      <c r="D203" s="43"/>
      <c r="E203" s="10"/>
      <c r="F203" s="42"/>
      <c r="G203" s="43"/>
      <c r="H203" s="10"/>
      <c r="I203" s="10"/>
      <c r="J203" s="42"/>
      <c r="K203" s="43"/>
      <c r="L203" s="43"/>
      <c r="M203" s="10"/>
      <c r="N203" s="10"/>
      <c r="O203" s="10"/>
      <c r="P203" s="10"/>
    </row>
    <row r="204" spans="1:16" x14ac:dyDescent="0.25">
      <c r="A204" s="1"/>
      <c r="B204" s="10"/>
      <c r="C204" s="42"/>
      <c r="D204" s="43"/>
      <c r="E204" s="10"/>
      <c r="F204" s="42"/>
      <c r="G204" s="43"/>
      <c r="H204" s="10"/>
      <c r="I204" s="10"/>
      <c r="J204" s="42"/>
      <c r="K204" s="43"/>
      <c r="L204" s="43"/>
      <c r="M204" s="10"/>
      <c r="N204" s="10"/>
      <c r="O204" s="10"/>
      <c r="P204" s="10"/>
    </row>
    <row r="205" spans="1:16" x14ac:dyDescent="0.25">
      <c r="A205" s="1"/>
      <c r="B205" s="10"/>
      <c r="C205" s="42"/>
      <c r="D205" s="43"/>
      <c r="E205" s="10"/>
      <c r="F205" s="42"/>
      <c r="G205" s="43"/>
      <c r="H205" s="10"/>
      <c r="I205" s="10"/>
      <c r="J205" s="42"/>
      <c r="K205" s="43"/>
      <c r="L205" s="43"/>
      <c r="M205" s="10"/>
      <c r="N205" s="10"/>
      <c r="O205" s="10"/>
      <c r="P205" s="10"/>
    </row>
    <row r="206" spans="1:16" x14ac:dyDescent="0.25">
      <c r="A206" s="1"/>
      <c r="B206" s="10"/>
      <c r="C206" s="42"/>
      <c r="D206" s="43"/>
      <c r="E206" s="10"/>
      <c r="F206" s="42"/>
      <c r="G206" s="43"/>
      <c r="H206" s="10"/>
      <c r="I206" s="10"/>
      <c r="J206" s="42"/>
      <c r="K206" s="43"/>
      <c r="L206" s="43"/>
      <c r="M206" s="10"/>
      <c r="N206" s="10"/>
      <c r="O206" s="10"/>
      <c r="P206" s="10"/>
    </row>
    <row r="207" spans="1:16" x14ac:dyDescent="0.25">
      <c r="A207" s="1"/>
      <c r="B207" s="10"/>
      <c r="C207" s="42"/>
      <c r="D207" s="43"/>
      <c r="E207" s="10"/>
      <c r="F207" s="42"/>
      <c r="G207" s="43"/>
      <c r="H207" s="10"/>
      <c r="I207" s="10"/>
      <c r="J207" s="42"/>
      <c r="K207" s="43"/>
      <c r="L207" s="43"/>
      <c r="M207" s="10"/>
      <c r="N207" s="10"/>
      <c r="O207" s="10"/>
      <c r="P207" s="10"/>
    </row>
    <row r="208" spans="1:16" x14ac:dyDescent="0.25">
      <c r="A208" s="1"/>
      <c r="B208" s="10"/>
      <c r="C208" s="42"/>
      <c r="D208" s="43"/>
      <c r="E208" s="10"/>
      <c r="F208" s="42"/>
      <c r="G208" s="43"/>
      <c r="H208" s="10"/>
      <c r="I208" s="10"/>
      <c r="J208" s="42"/>
      <c r="K208" s="43"/>
      <c r="L208" s="43"/>
      <c r="M208" s="10"/>
      <c r="N208" s="10"/>
      <c r="O208" s="10"/>
      <c r="P208" s="10"/>
    </row>
    <row r="209" spans="1:16" x14ac:dyDescent="0.25">
      <c r="A209" s="1"/>
      <c r="B209" s="10"/>
      <c r="C209" s="42"/>
      <c r="D209" s="43"/>
      <c r="E209" s="10"/>
      <c r="F209" s="42"/>
      <c r="G209" s="43"/>
      <c r="H209" s="10"/>
      <c r="I209" s="10"/>
      <c r="J209" s="42"/>
      <c r="K209" s="43"/>
      <c r="L209" s="43"/>
      <c r="M209" s="10"/>
      <c r="N209" s="10"/>
      <c r="O209" s="10"/>
      <c r="P209" s="10"/>
    </row>
    <row r="210" spans="1:16" x14ac:dyDescent="0.25">
      <c r="A210" s="1"/>
      <c r="B210" s="10"/>
      <c r="C210" s="42"/>
      <c r="D210" s="43"/>
      <c r="E210" s="10"/>
      <c r="F210" s="42"/>
      <c r="G210" s="43"/>
      <c r="H210" s="10"/>
      <c r="I210" s="10"/>
      <c r="J210" s="42"/>
      <c r="K210" s="43"/>
      <c r="L210" s="43"/>
      <c r="M210" s="10"/>
      <c r="N210" s="10"/>
      <c r="O210" s="10"/>
      <c r="P210" s="10"/>
    </row>
    <row r="211" spans="1:16" x14ac:dyDescent="0.25">
      <c r="A211" s="1"/>
      <c r="B211" s="10"/>
      <c r="C211" s="42"/>
      <c r="D211" s="43"/>
      <c r="E211" s="10"/>
      <c r="F211" s="42"/>
      <c r="G211" s="43"/>
      <c r="H211" s="10"/>
      <c r="I211" s="10"/>
      <c r="J211" s="42"/>
      <c r="K211" s="43"/>
      <c r="L211" s="43"/>
      <c r="M211" s="10"/>
      <c r="N211" s="10"/>
      <c r="O211" s="10"/>
      <c r="P211" s="10"/>
    </row>
    <row r="212" spans="1:16" x14ac:dyDescent="0.25">
      <c r="A212" s="1"/>
      <c r="B212" s="10"/>
      <c r="C212" s="42"/>
      <c r="D212" s="43"/>
      <c r="E212" s="10"/>
      <c r="F212" s="42"/>
      <c r="G212" s="43"/>
      <c r="H212" s="10"/>
      <c r="I212" s="10"/>
      <c r="J212" s="42"/>
      <c r="K212" s="43"/>
      <c r="L212" s="43"/>
      <c r="M212" s="10"/>
      <c r="N212" s="10"/>
      <c r="O212" s="10"/>
      <c r="P212" s="10"/>
    </row>
    <row r="213" spans="1:16" x14ac:dyDescent="0.25">
      <c r="A213" s="1"/>
      <c r="B213" s="10"/>
      <c r="C213" s="42"/>
      <c r="D213" s="43"/>
      <c r="E213" s="10"/>
      <c r="F213" s="42"/>
      <c r="G213" s="43"/>
      <c r="H213" s="10"/>
      <c r="I213" s="10"/>
      <c r="J213" s="42"/>
      <c r="K213" s="43"/>
      <c r="L213" s="43"/>
      <c r="M213" s="10"/>
      <c r="N213" s="10"/>
      <c r="O213" s="10"/>
      <c r="P213" s="10"/>
    </row>
    <row r="214" spans="1:16" x14ac:dyDescent="0.25">
      <c r="A214" s="1"/>
      <c r="B214" s="10"/>
      <c r="C214" s="42"/>
      <c r="D214" s="43"/>
      <c r="E214" s="10"/>
      <c r="F214" s="42"/>
      <c r="G214" s="43"/>
      <c r="H214" s="10"/>
      <c r="I214" s="10"/>
      <c r="J214" s="42"/>
      <c r="K214" s="43"/>
      <c r="L214" s="43"/>
      <c r="M214" s="10"/>
      <c r="N214" s="10"/>
      <c r="O214" s="10"/>
      <c r="P214" s="10"/>
    </row>
    <row r="215" spans="1:16" x14ac:dyDescent="0.25">
      <c r="A215" s="1"/>
      <c r="B215" s="10"/>
      <c r="C215" s="42"/>
      <c r="D215" s="43"/>
      <c r="E215" s="10"/>
      <c r="F215" s="42"/>
      <c r="G215" s="43"/>
      <c r="H215" s="10"/>
      <c r="I215" s="10"/>
      <c r="J215" s="42"/>
      <c r="K215" s="43"/>
      <c r="L215" s="43"/>
      <c r="M215" s="10"/>
      <c r="N215" s="10"/>
      <c r="O215" s="10"/>
      <c r="P215" s="10"/>
    </row>
    <row r="216" spans="1:16" x14ac:dyDescent="0.25">
      <c r="A216" s="1"/>
      <c r="B216" s="10"/>
      <c r="C216" s="42"/>
      <c r="D216" s="43"/>
      <c r="E216" s="10"/>
      <c r="F216" s="42"/>
      <c r="G216" s="43"/>
      <c r="H216" s="10"/>
      <c r="I216" s="10"/>
      <c r="J216" s="42"/>
      <c r="K216" s="43"/>
      <c r="L216" s="43"/>
      <c r="M216" s="10"/>
      <c r="N216" s="10"/>
      <c r="O216" s="10"/>
      <c r="P216" s="10"/>
    </row>
    <row r="217" spans="1:16" x14ac:dyDescent="0.25">
      <c r="A217" s="1"/>
      <c r="B217" s="10"/>
      <c r="C217" s="42"/>
      <c r="D217" s="43"/>
      <c r="E217" s="10"/>
      <c r="F217" s="42"/>
      <c r="G217" s="43"/>
      <c r="H217" s="10"/>
      <c r="I217" s="10"/>
      <c r="J217" s="42"/>
      <c r="K217" s="43"/>
      <c r="L217" s="43"/>
      <c r="M217" s="10"/>
      <c r="N217" s="10"/>
      <c r="O217" s="10"/>
      <c r="P217" s="10"/>
    </row>
    <row r="218" spans="1:16" x14ac:dyDescent="0.25">
      <c r="A218" s="1"/>
      <c r="B218" s="10"/>
      <c r="C218" s="42"/>
      <c r="D218" s="43"/>
      <c r="E218" s="10"/>
      <c r="F218" s="42"/>
      <c r="G218" s="43"/>
      <c r="H218" s="10"/>
      <c r="I218" s="10"/>
      <c r="J218" s="42"/>
      <c r="K218" s="43"/>
      <c r="L218" s="43"/>
      <c r="M218" s="10"/>
      <c r="N218" s="10"/>
      <c r="O218" s="10"/>
      <c r="P218" s="10"/>
    </row>
    <row r="219" spans="1:16" x14ac:dyDescent="0.25">
      <c r="A219" s="1"/>
      <c r="B219" s="10"/>
      <c r="C219" s="42"/>
      <c r="D219" s="43"/>
      <c r="E219" s="10"/>
      <c r="F219" s="42"/>
      <c r="G219" s="43"/>
      <c r="H219" s="10"/>
      <c r="I219" s="10"/>
      <c r="J219" s="42"/>
      <c r="K219" s="43"/>
      <c r="L219" s="43"/>
      <c r="M219" s="10"/>
      <c r="N219" s="10"/>
      <c r="O219" s="10"/>
      <c r="P219" s="10"/>
    </row>
    <row r="220" spans="1:16" x14ac:dyDescent="0.25">
      <c r="A220" s="1"/>
      <c r="B220" s="10"/>
      <c r="C220" s="42"/>
      <c r="D220" s="43"/>
      <c r="E220" s="10"/>
      <c r="F220" s="42"/>
      <c r="G220" s="43"/>
      <c r="H220" s="10"/>
      <c r="I220" s="10"/>
      <c r="J220" s="42"/>
      <c r="K220" s="43"/>
      <c r="L220" s="43"/>
      <c r="M220" s="10"/>
      <c r="N220" s="10"/>
      <c r="O220" s="10"/>
      <c r="P220" s="10"/>
    </row>
    <row r="221" spans="1:16" x14ac:dyDescent="0.25">
      <c r="A221" s="1"/>
      <c r="B221" s="10"/>
      <c r="C221" s="42"/>
      <c r="D221" s="43"/>
      <c r="E221" s="10"/>
      <c r="F221" s="42"/>
      <c r="G221" s="43"/>
      <c r="H221" s="10"/>
      <c r="I221" s="10"/>
      <c r="J221" s="42"/>
      <c r="K221" s="43"/>
      <c r="L221" s="43"/>
      <c r="M221" s="10"/>
      <c r="N221" s="10"/>
      <c r="O221" s="10"/>
      <c r="P221" s="10"/>
    </row>
    <row r="222" spans="1:16" x14ac:dyDescent="0.25">
      <c r="A222" s="1"/>
      <c r="B222" s="10"/>
      <c r="C222" s="42"/>
      <c r="D222" s="43"/>
      <c r="E222" s="10"/>
      <c r="F222" s="42"/>
      <c r="G222" s="43"/>
      <c r="H222" s="10"/>
      <c r="I222" s="10"/>
      <c r="J222" s="42"/>
      <c r="K222" s="43"/>
      <c r="L222" s="43"/>
      <c r="M222" s="10"/>
      <c r="N222" s="10"/>
      <c r="O222" s="10"/>
      <c r="P222" s="10"/>
    </row>
    <row r="223" spans="1:16" x14ac:dyDescent="0.25">
      <c r="A223" s="1"/>
      <c r="B223" s="10"/>
      <c r="C223" s="42"/>
      <c r="D223" s="43"/>
      <c r="E223" s="10"/>
      <c r="F223" s="42"/>
      <c r="G223" s="43"/>
      <c r="H223" s="10"/>
      <c r="I223" s="10"/>
      <c r="J223" s="42"/>
      <c r="K223" s="43"/>
      <c r="L223" s="43"/>
      <c r="M223" s="10"/>
      <c r="N223" s="10"/>
      <c r="O223" s="10"/>
      <c r="P223" s="10"/>
    </row>
    <row r="224" spans="1:16" x14ac:dyDescent="0.25">
      <c r="A224" s="1"/>
      <c r="B224" s="10"/>
      <c r="C224" s="42"/>
      <c r="D224" s="43"/>
      <c r="E224" s="10"/>
      <c r="F224" s="42"/>
      <c r="G224" s="43"/>
      <c r="H224" s="10"/>
      <c r="I224" s="10"/>
      <c r="J224" s="42"/>
      <c r="K224" s="43"/>
      <c r="L224" s="43"/>
      <c r="M224" s="10"/>
      <c r="N224" s="10"/>
      <c r="O224" s="10"/>
      <c r="P224" s="10"/>
    </row>
    <row r="225" spans="1:16" x14ac:dyDescent="0.25">
      <c r="A225" s="1"/>
      <c r="B225" s="10"/>
      <c r="C225" s="42"/>
      <c r="D225" s="43"/>
      <c r="E225" s="10"/>
      <c r="F225" s="42"/>
      <c r="G225" s="43"/>
      <c r="H225" s="10"/>
      <c r="I225" s="10"/>
      <c r="J225" s="42"/>
      <c r="K225" s="43"/>
      <c r="L225" s="43"/>
      <c r="M225" s="10"/>
      <c r="N225" s="10"/>
      <c r="O225" s="10"/>
      <c r="P225" s="10"/>
    </row>
    <row r="226" spans="1:16" x14ac:dyDescent="0.25">
      <c r="A226" s="1"/>
      <c r="B226" s="10"/>
      <c r="C226" s="42"/>
      <c r="D226" s="43"/>
      <c r="E226" s="10"/>
      <c r="F226" s="42"/>
      <c r="G226" s="43"/>
      <c r="H226" s="10"/>
      <c r="I226" s="10"/>
      <c r="J226" s="42"/>
      <c r="K226" s="43"/>
      <c r="L226" s="43"/>
      <c r="M226" s="10"/>
      <c r="N226" s="10"/>
      <c r="O226" s="10"/>
      <c r="P226" s="10"/>
    </row>
    <row r="227" spans="1:16" x14ac:dyDescent="0.25">
      <c r="A227" s="1"/>
      <c r="B227" s="10"/>
      <c r="C227" s="42"/>
      <c r="D227" s="43"/>
      <c r="E227" s="10"/>
      <c r="F227" s="42"/>
      <c r="G227" s="43"/>
      <c r="H227" s="10"/>
      <c r="I227" s="10"/>
      <c r="J227" s="42"/>
      <c r="K227" s="43"/>
      <c r="L227" s="43"/>
      <c r="M227" s="10"/>
      <c r="N227" s="10"/>
      <c r="O227" s="10"/>
      <c r="P227" s="10"/>
    </row>
    <row r="228" spans="1:16" x14ac:dyDescent="0.25">
      <c r="A228" s="1"/>
      <c r="B228" s="10"/>
      <c r="C228" s="42"/>
      <c r="D228" s="43"/>
      <c r="E228" s="10"/>
      <c r="F228" s="42"/>
      <c r="G228" s="43"/>
      <c r="H228" s="10"/>
      <c r="I228" s="10"/>
      <c r="J228" s="42"/>
      <c r="K228" s="43"/>
      <c r="L228" s="43"/>
      <c r="M228" s="10"/>
      <c r="N228" s="10"/>
      <c r="O228" s="10"/>
      <c r="P228" s="10"/>
    </row>
    <row r="229" spans="1:16" x14ac:dyDescent="0.25">
      <c r="A229" s="1"/>
      <c r="B229" s="10"/>
      <c r="C229" s="42"/>
      <c r="D229" s="43"/>
      <c r="E229" s="10"/>
      <c r="F229" s="42"/>
      <c r="G229" s="43"/>
      <c r="H229" s="10"/>
      <c r="I229" s="10"/>
      <c r="J229" s="42"/>
      <c r="K229" s="43"/>
      <c r="L229" s="43"/>
      <c r="M229" s="10"/>
      <c r="N229" s="10"/>
      <c r="O229" s="10"/>
      <c r="P229" s="10"/>
    </row>
    <row r="230" spans="1:16" x14ac:dyDescent="0.25">
      <c r="A230" s="1"/>
      <c r="B230" s="10"/>
      <c r="C230" s="42"/>
      <c r="D230" s="43"/>
      <c r="E230" s="10"/>
      <c r="F230" s="42"/>
      <c r="G230" s="43"/>
      <c r="H230" s="10"/>
      <c r="I230" s="10"/>
      <c r="J230" s="42"/>
      <c r="K230" s="43"/>
      <c r="L230" s="43"/>
      <c r="M230" s="10"/>
      <c r="N230" s="10"/>
      <c r="O230" s="10"/>
      <c r="P230" s="10"/>
    </row>
    <row r="231" spans="1:16" x14ac:dyDescent="0.25">
      <c r="A231" s="1"/>
      <c r="B231" s="10"/>
      <c r="C231" s="42"/>
      <c r="D231" s="43"/>
      <c r="E231" s="10"/>
      <c r="F231" s="42"/>
      <c r="G231" s="43"/>
      <c r="H231" s="10"/>
      <c r="I231" s="10"/>
      <c r="J231" s="42"/>
      <c r="K231" s="43"/>
      <c r="L231" s="43"/>
      <c r="M231" s="10"/>
      <c r="N231" s="10"/>
      <c r="O231" s="10"/>
      <c r="P231" s="10"/>
    </row>
    <row r="232" spans="1:16" x14ac:dyDescent="0.25">
      <c r="A232" s="1"/>
      <c r="B232" s="10"/>
      <c r="C232" s="42"/>
      <c r="D232" s="43"/>
      <c r="E232" s="10"/>
      <c r="F232" s="42"/>
      <c r="G232" s="43"/>
      <c r="H232" s="10"/>
      <c r="I232" s="10"/>
      <c r="J232" s="42"/>
      <c r="K232" s="43"/>
      <c r="L232" s="43"/>
      <c r="M232" s="10"/>
      <c r="N232" s="10"/>
      <c r="O232" s="10"/>
      <c r="P232" s="10"/>
    </row>
    <row r="233" spans="1:16" x14ac:dyDescent="0.25">
      <c r="A233" s="1"/>
      <c r="B233" s="10"/>
      <c r="C233" s="42"/>
      <c r="D233" s="43"/>
      <c r="E233" s="10"/>
      <c r="F233" s="42"/>
      <c r="G233" s="43"/>
      <c r="H233" s="10"/>
      <c r="I233" s="10"/>
      <c r="J233" s="42"/>
      <c r="K233" s="43"/>
      <c r="L233" s="43"/>
      <c r="M233" s="10"/>
      <c r="N233" s="10"/>
      <c r="O233" s="10"/>
      <c r="P233" s="10"/>
    </row>
    <row r="234" spans="1:16" x14ac:dyDescent="0.25">
      <c r="A234" s="1"/>
      <c r="B234" s="10"/>
      <c r="C234" s="42"/>
      <c r="D234" s="43"/>
      <c r="E234" s="10"/>
      <c r="F234" s="42"/>
      <c r="G234" s="43"/>
      <c r="H234" s="10"/>
      <c r="I234" s="10"/>
      <c r="J234" s="42"/>
      <c r="K234" s="43"/>
      <c r="L234" s="43"/>
      <c r="M234" s="10"/>
      <c r="N234" s="10"/>
      <c r="O234" s="10"/>
      <c r="P234" s="10"/>
    </row>
    <row r="235" spans="1:16" x14ac:dyDescent="0.25">
      <c r="A235" s="1"/>
      <c r="B235" s="10"/>
      <c r="C235" s="42"/>
      <c r="D235" s="43"/>
      <c r="E235" s="10"/>
      <c r="F235" s="42"/>
      <c r="G235" s="43"/>
      <c r="H235" s="10"/>
      <c r="I235" s="10"/>
      <c r="J235" s="42"/>
      <c r="K235" s="43"/>
      <c r="L235" s="43"/>
      <c r="M235" s="10"/>
      <c r="N235" s="10"/>
      <c r="O235" s="10"/>
      <c r="P235" s="10"/>
    </row>
    <row r="236" spans="1:16" x14ac:dyDescent="0.25">
      <c r="A236" s="1"/>
      <c r="B236" s="10"/>
      <c r="C236" s="42"/>
      <c r="D236" s="43"/>
      <c r="E236" s="10"/>
      <c r="F236" s="42"/>
      <c r="G236" s="43"/>
      <c r="H236" s="10"/>
      <c r="I236" s="10"/>
      <c r="J236" s="42"/>
      <c r="K236" s="43"/>
      <c r="L236" s="43"/>
      <c r="M236" s="10"/>
      <c r="N236" s="10"/>
      <c r="O236" s="10"/>
      <c r="P236" s="10"/>
    </row>
    <row r="237" spans="1:16" x14ac:dyDescent="0.25">
      <c r="A237" s="1"/>
      <c r="B237" s="10"/>
      <c r="C237" s="42"/>
      <c r="D237" s="43"/>
      <c r="E237" s="10"/>
      <c r="F237" s="42"/>
      <c r="G237" s="43"/>
      <c r="H237" s="10"/>
      <c r="I237" s="10"/>
      <c r="J237" s="42"/>
      <c r="K237" s="43"/>
      <c r="L237" s="43"/>
      <c r="M237" s="10"/>
      <c r="N237" s="10"/>
      <c r="O237" s="10"/>
      <c r="P237" s="10"/>
    </row>
    <row r="238" spans="1:16" x14ac:dyDescent="0.25">
      <c r="A238" s="1"/>
      <c r="B238" s="10"/>
      <c r="C238" s="42"/>
      <c r="D238" s="43"/>
      <c r="E238" s="10"/>
      <c r="F238" s="42"/>
      <c r="G238" s="43"/>
      <c r="H238" s="10"/>
      <c r="I238" s="10"/>
      <c r="J238" s="42"/>
      <c r="K238" s="43"/>
      <c r="L238" s="43"/>
      <c r="M238" s="10"/>
      <c r="N238" s="10"/>
      <c r="O238" s="10"/>
      <c r="P238" s="10"/>
    </row>
    <row r="239" spans="1:16" x14ac:dyDescent="0.25">
      <c r="A239" s="1"/>
      <c r="B239" s="10"/>
      <c r="C239" s="42"/>
      <c r="D239" s="43"/>
      <c r="E239" s="10"/>
      <c r="F239" s="42"/>
      <c r="G239" s="43"/>
      <c r="H239" s="10"/>
      <c r="I239" s="10"/>
      <c r="J239" s="42"/>
      <c r="K239" s="43"/>
      <c r="L239" s="43"/>
      <c r="M239" s="10"/>
      <c r="N239" s="10"/>
      <c r="O239" s="10"/>
      <c r="P239" s="10"/>
    </row>
    <row r="240" spans="1:16" x14ac:dyDescent="0.25">
      <c r="A240" s="1"/>
      <c r="B240" s="10"/>
      <c r="C240" s="42"/>
      <c r="D240" s="43"/>
      <c r="E240" s="10"/>
      <c r="F240" s="42"/>
      <c r="G240" s="43"/>
      <c r="H240" s="10"/>
      <c r="I240" s="10"/>
      <c r="J240" s="42"/>
      <c r="K240" s="43"/>
      <c r="L240" s="43"/>
      <c r="M240" s="10"/>
      <c r="N240" s="10"/>
      <c r="O240" s="10"/>
      <c r="P240" s="10"/>
    </row>
    <row r="241" spans="1:16" x14ac:dyDescent="0.25">
      <c r="A241" s="1"/>
      <c r="B241" s="10"/>
      <c r="C241" s="42"/>
      <c r="D241" s="43"/>
      <c r="E241" s="10"/>
      <c r="F241" s="42"/>
      <c r="G241" s="43"/>
      <c r="H241" s="10"/>
      <c r="I241" s="10"/>
      <c r="J241" s="42"/>
      <c r="K241" s="43"/>
      <c r="L241" s="43"/>
      <c r="M241" s="10"/>
      <c r="N241" s="10"/>
      <c r="O241" s="10"/>
      <c r="P241" s="10"/>
    </row>
    <row r="242" spans="1:16" x14ac:dyDescent="0.25">
      <c r="A242" s="1"/>
      <c r="B242" s="10"/>
      <c r="C242" s="42"/>
      <c r="D242" s="43"/>
      <c r="E242" s="10"/>
      <c r="F242" s="42"/>
      <c r="G242" s="43"/>
      <c r="H242" s="10"/>
      <c r="I242" s="10"/>
      <c r="J242" s="42"/>
      <c r="K242" s="43"/>
      <c r="L242" s="43"/>
      <c r="M242" s="10"/>
      <c r="N242" s="10"/>
      <c r="O242" s="10"/>
      <c r="P242" s="10"/>
    </row>
    <row r="243" spans="1:16" x14ac:dyDescent="0.25">
      <c r="A243" s="1"/>
      <c r="B243" s="10"/>
      <c r="C243" s="42"/>
      <c r="D243" s="43"/>
      <c r="E243" s="10"/>
      <c r="F243" s="42"/>
      <c r="G243" s="43"/>
      <c r="H243" s="10"/>
      <c r="I243" s="10"/>
      <c r="J243" s="42"/>
      <c r="K243" s="43"/>
      <c r="L243" s="43"/>
      <c r="M243" s="10"/>
      <c r="N243" s="10"/>
      <c r="O243" s="10"/>
      <c r="P243" s="10"/>
    </row>
    <row r="244" spans="1:16" x14ac:dyDescent="0.25">
      <c r="A244" s="1"/>
      <c r="B244" s="10"/>
      <c r="C244" s="42"/>
      <c r="D244" s="43"/>
      <c r="E244" s="10"/>
      <c r="F244" s="42"/>
      <c r="G244" s="43"/>
      <c r="H244" s="10"/>
      <c r="I244" s="10"/>
      <c r="J244" s="42"/>
      <c r="K244" s="43"/>
      <c r="L244" s="43"/>
      <c r="M244" s="10"/>
      <c r="N244" s="10"/>
      <c r="O244" s="10"/>
      <c r="P244" s="10"/>
    </row>
    <row r="245" spans="1:16" x14ac:dyDescent="0.25">
      <c r="A245" s="1"/>
      <c r="B245" s="10"/>
      <c r="C245" s="42"/>
      <c r="D245" s="43"/>
      <c r="E245" s="10"/>
      <c r="F245" s="42"/>
      <c r="G245" s="43"/>
      <c r="H245" s="10"/>
      <c r="I245" s="10"/>
      <c r="J245" s="42"/>
      <c r="K245" s="43"/>
      <c r="L245" s="43"/>
      <c r="M245" s="10"/>
      <c r="N245" s="10"/>
      <c r="O245" s="10"/>
      <c r="P245" s="10"/>
    </row>
    <row r="246" spans="1:16" x14ac:dyDescent="0.25">
      <c r="A246" s="1"/>
      <c r="B246" s="10"/>
      <c r="C246" s="42"/>
      <c r="D246" s="43"/>
      <c r="E246" s="10"/>
      <c r="F246" s="42"/>
      <c r="G246" s="43"/>
      <c r="H246" s="10"/>
      <c r="I246" s="10"/>
      <c r="J246" s="42"/>
      <c r="K246" s="43"/>
      <c r="L246" s="43"/>
      <c r="M246" s="10"/>
      <c r="N246" s="10"/>
      <c r="O246" s="10"/>
      <c r="P246" s="10"/>
    </row>
    <row r="247" spans="1:16" x14ac:dyDescent="0.25">
      <c r="A247" s="1"/>
      <c r="B247" s="10"/>
      <c r="C247" s="42"/>
      <c r="D247" s="43"/>
      <c r="E247" s="10"/>
      <c r="F247" s="42"/>
      <c r="G247" s="43"/>
      <c r="H247" s="10"/>
      <c r="I247" s="10"/>
      <c r="J247" s="42"/>
      <c r="K247" s="43"/>
      <c r="L247" s="43"/>
      <c r="M247" s="10"/>
      <c r="N247" s="10"/>
      <c r="O247" s="10"/>
      <c r="P247" s="10"/>
    </row>
    <row r="248" spans="1:16" x14ac:dyDescent="0.25">
      <c r="A248" s="1"/>
      <c r="B248" s="10"/>
      <c r="C248" s="42"/>
      <c r="D248" s="43"/>
      <c r="E248" s="10"/>
      <c r="F248" s="42"/>
      <c r="G248" s="43"/>
      <c r="H248" s="10"/>
      <c r="I248" s="10"/>
      <c r="J248" s="42"/>
      <c r="K248" s="43"/>
      <c r="L248" s="43"/>
      <c r="M248" s="10"/>
      <c r="N248" s="10"/>
      <c r="O248" s="10"/>
      <c r="P248" s="10"/>
    </row>
    <row r="249" spans="1:16" x14ac:dyDescent="0.25">
      <c r="A249" s="1"/>
      <c r="B249" s="10"/>
      <c r="C249" s="42"/>
      <c r="D249" s="43"/>
      <c r="E249" s="10"/>
      <c r="F249" s="42"/>
      <c r="G249" s="43"/>
      <c r="H249" s="10"/>
      <c r="I249" s="10"/>
      <c r="J249" s="42"/>
      <c r="K249" s="43"/>
      <c r="L249" s="43"/>
      <c r="M249" s="10"/>
      <c r="N249" s="10"/>
      <c r="O249" s="10"/>
      <c r="P249" s="10"/>
    </row>
    <row r="250" spans="1:16" x14ac:dyDescent="0.25">
      <c r="A250" s="1"/>
      <c r="B250" s="10"/>
      <c r="C250" s="42"/>
      <c r="D250" s="43"/>
      <c r="E250" s="10"/>
      <c r="F250" s="42"/>
      <c r="G250" s="43"/>
      <c r="H250" s="10"/>
      <c r="I250" s="10"/>
      <c r="J250" s="42"/>
      <c r="K250" s="43"/>
      <c r="L250" s="43"/>
      <c r="M250" s="10"/>
      <c r="N250" s="10"/>
      <c r="O250" s="10"/>
      <c r="P250" s="10"/>
    </row>
    <row r="251" spans="1:16" x14ac:dyDescent="0.25">
      <c r="A251" s="1"/>
      <c r="B251" s="10"/>
      <c r="C251" s="42"/>
      <c r="D251" s="43"/>
      <c r="E251" s="10"/>
      <c r="F251" s="42"/>
      <c r="G251" s="43"/>
      <c r="H251" s="10"/>
      <c r="I251" s="10"/>
      <c r="J251" s="42"/>
      <c r="K251" s="43"/>
      <c r="L251" s="43"/>
      <c r="M251" s="10"/>
      <c r="N251" s="10"/>
      <c r="O251" s="10"/>
      <c r="P251" s="10"/>
    </row>
    <row r="252" spans="1:16" x14ac:dyDescent="0.25">
      <c r="A252" s="1"/>
      <c r="B252" s="10"/>
      <c r="C252" s="42"/>
      <c r="D252" s="43"/>
      <c r="E252" s="10"/>
      <c r="F252" s="42"/>
      <c r="G252" s="43"/>
      <c r="H252" s="10"/>
      <c r="I252" s="10"/>
      <c r="J252" s="42"/>
      <c r="K252" s="43"/>
      <c r="L252" s="43"/>
      <c r="M252" s="10"/>
      <c r="N252" s="10"/>
      <c r="O252" s="10"/>
      <c r="P252" s="10"/>
    </row>
    <row r="253" spans="1:16" x14ac:dyDescent="0.25">
      <c r="A253" s="1"/>
      <c r="B253" s="10"/>
      <c r="C253" s="42"/>
      <c r="D253" s="43"/>
      <c r="E253" s="10"/>
      <c r="F253" s="42"/>
      <c r="G253" s="43"/>
      <c r="H253" s="10"/>
      <c r="I253" s="10"/>
      <c r="J253" s="42"/>
      <c r="K253" s="43"/>
      <c r="L253" s="43"/>
      <c r="M253" s="10"/>
      <c r="N253" s="10"/>
      <c r="O253" s="10"/>
      <c r="P253" s="10"/>
    </row>
    <row r="254" spans="1:16" x14ac:dyDescent="0.25">
      <c r="A254" s="1"/>
      <c r="B254" s="10"/>
      <c r="C254" s="42"/>
      <c r="D254" s="43"/>
      <c r="E254" s="10"/>
      <c r="F254" s="42"/>
      <c r="G254" s="43"/>
      <c r="H254" s="10"/>
      <c r="I254" s="10"/>
      <c r="J254" s="42"/>
      <c r="K254" s="43"/>
      <c r="L254" s="43"/>
      <c r="M254" s="10"/>
      <c r="N254" s="10"/>
      <c r="O254" s="10"/>
      <c r="P254" s="10"/>
    </row>
    <row r="255" spans="1:16" x14ac:dyDescent="0.25">
      <c r="A255" s="1"/>
      <c r="B255" s="10"/>
      <c r="C255" s="42"/>
      <c r="D255" s="43"/>
      <c r="E255" s="10"/>
      <c r="F255" s="42"/>
      <c r="G255" s="43"/>
      <c r="H255" s="10"/>
      <c r="I255" s="10"/>
      <c r="J255" s="42"/>
      <c r="K255" s="43"/>
      <c r="L255" s="43"/>
      <c r="M255" s="10"/>
      <c r="N255" s="10"/>
      <c r="O255" s="10"/>
      <c r="P255" s="10"/>
    </row>
    <row r="256" spans="1:16" x14ac:dyDescent="0.25">
      <c r="A256" s="1"/>
      <c r="B256" s="10"/>
      <c r="C256" s="42"/>
      <c r="D256" s="43"/>
      <c r="E256" s="10"/>
      <c r="F256" s="42"/>
      <c r="G256" s="43"/>
      <c r="H256" s="10"/>
      <c r="I256" s="10"/>
      <c r="J256" s="42"/>
      <c r="K256" s="43"/>
      <c r="L256" s="43"/>
      <c r="M256" s="10"/>
      <c r="N256" s="10"/>
      <c r="O256" s="10"/>
      <c r="P256" s="10"/>
    </row>
    <row r="257" spans="1:16" x14ac:dyDescent="0.25">
      <c r="A257" s="1"/>
      <c r="B257" s="10"/>
      <c r="C257" s="42"/>
      <c r="D257" s="43"/>
      <c r="E257" s="10"/>
      <c r="F257" s="42"/>
      <c r="G257" s="43"/>
      <c r="H257" s="10"/>
      <c r="I257" s="10"/>
      <c r="J257" s="42"/>
      <c r="K257" s="43"/>
      <c r="L257" s="43"/>
      <c r="M257" s="10"/>
      <c r="N257" s="10"/>
      <c r="O257" s="10"/>
      <c r="P257" s="10"/>
    </row>
    <row r="258" spans="1:16" x14ac:dyDescent="0.25">
      <c r="A258" s="1"/>
      <c r="B258" s="10"/>
      <c r="C258" s="42"/>
      <c r="D258" s="43"/>
      <c r="E258" s="10"/>
      <c r="F258" s="42"/>
      <c r="G258" s="43"/>
      <c r="H258" s="10"/>
      <c r="I258" s="10"/>
      <c r="J258" s="42"/>
      <c r="K258" s="43"/>
      <c r="L258" s="43"/>
      <c r="M258" s="10"/>
      <c r="N258" s="10"/>
      <c r="O258" s="10"/>
      <c r="P258" s="10"/>
    </row>
    <row r="259" spans="1:16" x14ac:dyDescent="0.25">
      <c r="A259" s="1"/>
      <c r="B259" s="10"/>
      <c r="C259" s="42"/>
      <c r="D259" s="43"/>
      <c r="E259" s="10"/>
      <c r="F259" s="42"/>
      <c r="G259" s="43"/>
      <c r="H259" s="10"/>
      <c r="I259" s="10"/>
      <c r="J259" s="42"/>
      <c r="K259" s="43"/>
      <c r="L259" s="43"/>
      <c r="M259" s="10"/>
      <c r="N259" s="10"/>
      <c r="O259" s="10"/>
      <c r="P259" s="10"/>
    </row>
    <row r="260" spans="1:16" x14ac:dyDescent="0.25">
      <c r="A260" s="1"/>
      <c r="B260" s="10"/>
      <c r="C260" s="42"/>
      <c r="D260" s="43"/>
      <c r="E260" s="10"/>
      <c r="F260" s="42"/>
      <c r="G260" s="43"/>
      <c r="H260" s="10"/>
      <c r="I260" s="10"/>
      <c r="J260" s="42"/>
      <c r="K260" s="43"/>
      <c r="L260" s="43"/>
      <c r="M260" s="10"/>
      <c r="N260" s="10"/>
      <c r="O260" s="10"/>
      <c r="P260" s="10"/>
    </row>
    <row r="261" spans="1:16" x14ac:dyDescent="0.25">
      <c r="A261" s="1"/>
      <c r="B261" s="10"/>
      <c r="C261" s="42"/>
      <c r="D261" s="43"/>
      <c r="E261" s="10"/>
      <c r="F261" s="42"/>
      <c r="G261" s="43"/>
      <c r="H261" s="10"/>
      <c r="I261" s="10"/>
      <c r="J261" s="42"/>
      <c r="K261" s="43"/>
      <c r="L261" s="43"/>
      <c r="M261" s="10"/>
      <c r="N261" s="10"/>
      <c r="O261" s="10"/>
      <c r="P261" s="10"/>
    </row>
    <row r="262" spans="1:16" x14ac:dyDescent="0.25">
      <c r="A262" s="1"/>
      <c r="B262" s="10"/>
      <c r="C262" s="42"/>
      <c r="D262" s="43"/>
      <c r="E262" s="10"/>
      <c r="F262" s="42"/>
      <c r="G262" s="43"/>
      <c r="H262" s="10"/>
      <c r="I262" s="10"/>
      <c r="J262" s="42"/>
      <c r="K262" s="43"/>
      <c r="L262" s="43"/>
      <c r="M262" s="10"/>
      <c r="N262" s="10"/>
      <c r="O262" s="10"/>
      <c r="P262" s="10"/>
    </row>
    <row r="263" spans="1:16" x14ac:dyDescent="0.25">
      <c r="A263" s="1"/>
      <c r="B263" s="10"/>
      <c r="C263" s="42"/>
      <c r="D263" s="43"/>
      <c r="E263" s="10"/>
      <c r="F263" s="42"/>
      <c r="G263" s="43"/>
      <c r="H263" s="10"/>
      <c r="I263" s="10"/>
      <c r="J263" s="42"/>
      <c r="K263" s="43"/>
      <c r="L263" s="43"/>
      <c r="M263" s="10"/>
      <c r="N263" s="10"/>
      <c r="O263" s="10"/>
      <c r="P263" s="10"/>
    </row>
    <row r="264" spans="1:16" x14ac:dyDescent="0.25">
      <c r="A264" s="1"/>
      <c r="B264" s="10"/>
      <c r="C264" s="42"/>
      <c r="D264" s="43"/>
      <c r="E264" s="10"/>
      <c r="F264" s="42"/>
      <c r="G264" s="43"/>
      <c r="H264" s="10"/>
      <c r="I264" s="10"/>
      <c r="J264" s="42"/>
      <c r="K264" s="43"/>
      <c r="L264" s="43"/>
      <c r="M264" s="10"/>
      <c r="N264" s="10"/>
      <c r="O264" s="10"/>
      <c r="P264" s="10"/>
    </row>
    <row r="265" spans="1:16" x14ac:dyDescent="0.25">
      <c r="A265" s="1"/>
      <c r="B265" s="10"/>
      <c r="C265" s="42"/>
      <c r="D265" s="43"/>
      <c r="E265" s="10"/>
      <c r="F265" s="42"/>
      <c r="G265" s="43"/>
      <c r="H265" s="10"/>
      <c r="I265" s="10"/>
      <c r="J265" s="42"/>
      <c r="K265" s="43"/>
      <c r="L265" s="43"/>
      <c r="M265" s="10"/>
      <c r="N265" s="10"/>
      <c r="O265" s="10"/>
      <c r="P265" s="10"/>
    </row>
    <row r="266" spans="1:16" x14ac:dyDescent="0.25">
      <c r="A266" s="1"/>
      <c r="B266" s="10"/>
      <c r="C266" s="42"/>
      <c r="D266" s="43"/>
      <c r="E266" s="10"/>
      <c r="F266" s="42"/>
      <c r="G266" s="43"/>
      <c r="H266" s="10"/>
      <c r="I266" s="10"/>
      <c r="J266" s="42"/>
      <c r="K266" s="43"/>
      <c r="L266" s="43"/>
      <c r="M266" s="10"/>
      <c r="N266" s="10"/>
      <c r="O266" s="10"/>
      <c r="P266" s="10"/>
    </row>
    <row r="267" spans="1:16" x14ac:dyDescent="0.25">
      <c r="A267" s="1"/>
      <c r="B267" s="10"/>
      <c r="C267" s="42"/>
      <c r="D267" s="43"/>
      <c r="E267" s="10"/>
      <c r="F267" s="42"/>
      <c r="G267" s="43"/>
      <c r="H267" s="10"/>
      <c r="I267" s="10"/>
      <c r="J267" s="42"/>
      <c r="K267" s="43"/>
      <c r="L267" s="43"/>
      <c r="M267" s="10"/>
      <c r="N267" s="10"/>
      <c r="O267" s="10"/>
      <c r="P267" s="10"/>
    </row>
    <row r="268" spans="1:16" x14ac:dyDescent="0.25">
      <c r="A268" s="1"/>
      <c r="B268" s="10"/>
      <c r="C268" s="42"/>
      <c r="D268" s="43"/>
      <c r="E268" s="10"/>
      <c r="F268" s="42"/>
      <c r="G268" s="43"/>
      <c r="H268" s="10"/>
      <c r="I268" s="10"/>
      <c r="J268" s="42"/>
      <c r="K268" s="43"/>
      <c r="L268" s="43"/>
      <c r="M268" s="10"/>
      <c r="N268" s="10"/>
      <c r="O268" s="10"/>
      <c r="P268" s="10"/>
    </row>
    <row r="269" spans="1:16" x14ac:dyDescent="0.25">
      <c r="A269" s="1"/>
      <c r="B269" s="10"/>
      <c r="C269" s="42"/>
      <c r="D269" s="43"/>
      <c r="E269" s="10"/>
      <c r="F269" s="42"/>
      <c r="G269" s="43"/>
      <c r="H269" s="10"/>
      <c r="I269" s="10"/>
      <c r="J269" s="42"/>
      <c r="K269" s="43"/>
      <c r="L269" s="43"/>
      <c r="M269" s="10"/>
      <c r="N269" s="10"/>
      <c r="O269" s="10"/>
      <c r="P269" s="10"/>
    </row>
    <row r="270" spans="1:16" x14ac:dyDescent="0.25">
      <c r="A270" s="1"/>
      <c r="B270" s="10"/>
      <c r="C270" s="42"/>
      <c r="D270" s="43"/>
      <c r="E270" s="10"/>
      <c r="F270" s="42"/>
      <c r="G270" s="43"/>
      <c r="H270" s="10"/>
      <c r="I270" s="10"/>
      <c r="J270" s="42"/>
      <c r="K270" s="43"/>
      <c r="L270" s="43"/>
      <c r="M270" s="10"/>
      <c r="N270" s="10"/>
      <c r="O270" s="10"/>
      <c r="P270" s="10"/>
    </row>
    <row r="271" spans="1:16" x14ac:dyDescent="0.25">
      <c r="A271" s="1"/>
      <c r="B271" s="10"/>
      <c r="C271" s="42"/>
      <c r="D271" s="43"/>
      <c r="E271" s="10"/>
      <c r="F271" s="42"/>
      <c r="G271" s="43"/>
      <c r="H271" s="10"/>
      <c r="I271" s="10"/>
      <c r="J271" s="42"/>
      <c r="K271" s="43"/>
      <c r="L271" s="43"/>
      <c r="M271" s="10"/>
      <c r="N271" s="10"/>
      <c r="O271" s="10"/>
      <c r="P271" s="10"/>
    </row>
    <row r="272" spans="1:16" x14ac:dyDescent="0.25">
      <c r="A272" s="1"/>
      <c r="B272" s="10"/>
      <c r="C272" s="42"/>
      <c r="D272" s="43"/>
      <c r="E272" s="10"/>
      <c r="F272" s="42"/>
      <c r="G272" s="43"/>
      <c r="H272" s="10"/>
      <c r="I272" s="10"/>
      <c r="J272" s="42"/>
      <c r="K272" s="43"/>
      <c r="L272" s="43"/>
      <c r="M272" s="10"/>
      <c r="N272" s="10"/>
      <c r="O272" s="10"/>
      <c r="P272" s="10"/>
    </row>
    <row r="273" spans="1:16" x14ac:dyDescent="0.25">
      <c r="A273" s="1"/>
      <c r="B273" s="10"/>
      <c r="C273" s="42"/>
      <c r="D273" s="43"/>
      <c r="E273" s="10"/>
      <c r="F273" s="42"/>
      <c r="G273" s="43"/>
      <c r="H273" s="10"/>
      <c r="I273" s="10"/>
      <c r="J273" s="42"/>
      <c r="K273" s="43"/>
      <c r="L273" s="43"/>
      <c r="M273" s="10"/>
      <c r="N273" s="10"/>
      <c r="O273" s="10"/>
      <c r="P273" s="10"/>
    </row>
    <row r="274" spans="1:16" x14ac:dyDescent="0.25">
      <c r="A274" s="1"/>
      <c r="B274" s="10"/>
      <c r="C274" s="42"/>
      <c r="D274" s="43"/>
      <c r="E274" s="10"/>
      <c r="F274" s="42"/>
      <c r="G274" s="43"/>
      <c r="H274" s="10"/>
      <c r="I274" s="10"/>
      <c r="J274" s="42"/>
      <c r="K274" s="43"/>
      <c r="L274" s="43"/>
      <c r="M274" s="10"/>
      <c r="N274" s="10"/>
      <c r="O274" s="10"/>
      <c r="P274" s="10"/>
    </row>
    <row r="275" spans="1:16" x14ac:dyDescent="0.25">
      <c r="A275" s="1"/>
      <c r="B275" s="10"/>
      <c r="C275" s="42"/>
      <c r="D275" s="43"/>
      <c r="E275" s="10"/>
      <c r="F275" s="42"/>
      <c r="G275" s="43"/>
      <c r="H275" s="10"/>
      <c r="I275" s="10"/>
      <c r="J275" s="42"/>
      <c r="K275" s="43"/>
      <c r="L275" s="43"/>
      <c r="M275" s="10"/>
      <c r="N275" s="10"/>
      <c r="O275" s="10"/>
      <c r="P275" s="10"/>
    </row>
    <row r="276" spans="1:16" x14ac:dyDescent="0.25">
      <c r="A276" s="1"/>
      <c r="B276" s="10"/>
      <c r="C276" s="42"/>
      <c r="D276" s="43"/>
      <c r="E276" s="10"/>
      <c r="F276" s="42"/>
      <c r="G276" s="43"/>
      <c r="H276" s="10"/>
      <c r="I276" s="10"/>
      <c r="J276" s="42"/>
      <c r="K276" s="43"/>
      <c r="L276" s="43"/>
      <c r="M276" s="10"/>
      <c r="N276" s="10"/>
      <c r="O276" s="10"/>
      <c r="P276" s="10"/>
    </row>
    <row r="277" spans="1:16" x14ac:dyDescent="0.25">
      <c r="A277" s="1"/>
      <c r="B277" s="10"/>
      <c r="C277" s="42"/>
      <c r="D277" s="43"/>
      <c r="E277" s="10"/>
      <c r="F277" s="42"/>
      <c r="G277" s="43"/>
      <c r="H277" s="10"/>
      <c r="I277" s="10"/>
      <c r="J277" s="42"/>
      <c r="K277" s="43"/>
      <c r="L277" s="43"/>
      <c r="M277" s="10"/>
      <c r="N277" s="10"/>
      <c r="O277" s="10"/>
      <c r="P277" s="10"/>
    </row>
    <row r="278" spans="1:16" x14ac:dyDescent="0.25">
      <c r="A278" s="1"/>
      <c r="B278" s="10"/>
      <c r="C278" s="42"/>
      <c r="D278" s="43"/>
      <c r="E278" s="10"/>
      <c r="F278" s="42"/>
      <c r="G278" s="43"/>
      <c r="H278" s="10"/>
      <c r="I278" s="10"/>
      <c r="J278" s="42"/>
      <c r="K278" s="43"/>
      <c r="L278" s="43"/>
      <c r="M278" s="10"/>
      <c r="N278" s="10"/>
      <c r="O278" s="10"/>
      <c r="P278" s="10"/>
    </row>
    <row r="279" spans="1:16" x14ac:dyDescent="0.25">
      <c r="A279" s="1"/>
      <c r="B279" s="10"/>
      <c r="C279" s="42"/>
      <c r="D279" s="43"/>
      <c r="E279" s="10"/>
      <c r="F279" s="42"/>
      <c r="G279" s="43"/>
      <c r="H279" s="10"/>
      <c r="I279" s="10"/>
      <c r="J279" s="42"/>
      <c r="K279" s="43"/>
      <c r="L279" s="43"/>
      <c r="M279" s="10"/>
      <c r="N279" s="10"/>
      <c r="O279" s="10"/>
      <c r="P279" s="10"/>
    </row>
    <row r="280" spans="1:16" x14ac:dyDescent="0.25">
      <c r="A280" s="1"/>
      <c r="B280" s="10"/>
      <c r="C280" s="42"/>
      <c r="D280" s="43"/>
      <c r="E280" s="10"/>
      <c r="F280" s="42"/>
      <c r="G280" s="43"/>
      <c r="H280" s="10"/>
      <c r="I280" s="10"/>
      <c r="J280" s="42"/>
      <c r="K280" s="43"/>
      <c r="L280" s="43"/>
      <c r="M280" s="10"/>
      <c r="N280" s="10"/>
      <c r="O280" s="10"/>
      <c r="P280" s="10"/>
    </row>
    <row r="281" spans="1:16" x14ac:dyDescent="0.25">
      <c r="A281" s="1"/>
      <c r="B281" s="10"/>
      <c r="C281" s="42"/>
      <c r="D281" s="43"/>
      <c r="E281" s="10"/>
      <c r="F281" s="42"/>
      <c r="G281" s="43"/>
      <c r="H281" s="10"/>
      <c r="I281" s="10"/>
      <c r="J281" s="42"/>
      <c r="K281" s="43"/>
      <c r="L281" s="43"/>
      <c r="M281" s="10"/>
      <c r="N281" s="10"/>
      <c r="O281" s="10"/>
      <c r="P281" s="10"/>
    </row>
    <row r="282" spans="1:16" x14ac:dyDescent="0.25">
      <c r="A282" s="1"/>
      <c r="B282" s="10"/>
      <c r="C282" s="42"/>
      <c r="D282" s="43"/>
      <c r="E282" s="10"/>
      <c r="F282" s="42"/>
      <c r="G282" s="43"/>
      <c r="H282" s="10"/>
      <c r="I282" s="10"/>
      <c r="J282" s="42"/>
      <c r="K282" s="43"/>
      <c r="L282" s="43"/>
      <c r="M282" s="10"/>
      <c r="N282" s="10"/>
      <c r="O282" s="10"/>
      <c r="P282" s="10"/>
    </row>
    <row r="283" spans="1:16" x14ac:dyDescent="0.25">
      <c r="A283" s="1"/>
      <c r="B283" s="10"/>
      <c r="C283" s="42"/>
      <c r="D283" s="43"/>
      <c r="E283" s="10"/>
      <c r="F283" s="42"/>
      <c r="G283" s="43"/>
      <c r="H283" s="10"/>
      <c r="I283" s="10"/>
      <c r="J283" s="42"/>
      <c r="K283" s="43"/>
      <c r="L283" s="43"/>
      <c r="M283" s="10"/>
      <c r="N283" s="10"/>
      <c r="O283" s="10"/>
      <c r="P283" s="10"/>
    </row>
    <row r="284" spans="1:16" x14ac:dyDescent="0.25">
      <c r="A284" s="1"/>
      <c r="B284" s="10"/>
      <c r="C284" s="42"/>
      <c r="D284" s="43"/>
      <c r="E284" s="10"/>
      <c r="F284" s="42"/>
      <c r="G284" s="43"/>
      <c r="H284" s="10"/>
      <c r="I284" s="10"/>
      <c r="J284" s="42"/>
      <c r="K284" s="43"/>
      <c r="L284" s="43"/>
      <c r="M284" s="10"/>
      <c r="N284" s="10"/>
      <c r="O284" s="10"/>
      <c r="P284" s="10"/>
    </row>
    <row r="285" spans="1:16" x14ac:dyDescent="0.25">
      <c r="A285" s="1"/>
      <c r="B285" s="10"/>
      <c r="C285" s="42"/>
      <c r="D285" s="43"/>
      <c r="E285" s="10"/>
      <c r="F285" s="42"/>
      <c r="G285" s="43"/>
      <c r="H285" s="10"/>
      <c r="I285" s="10"/>
      <c r="J285" s="42"/>
      <c r="K285" s="43"/>
      <c r="L285" s="43"/>
      <c r="M285" s="10"/>
      <c r="N285" s="10"/>
      <c r="O285" s="10"/>
      <c r="P285" s="10"/>
    </row>
    <row r="286" spans="1:16" x14ac:dyDescent="0.25">
      <c r="A286" s="1"/>
      <c r="B286" s="10"/>
      <c r="C286" s="42"/>
      <c r="D286" s="43"/>
      <c r="E286" s="10"/>
      <c r="F286" s="42"/>
      <c r="G286" s="43"/>
      <c r="H286" s="10"/>
      <c r="I286" s="10"/>
      <c r="J286" s="42"/>
      <c r="K286" s="43"/>
      <c r="L286" s="43"/>
      <c r="M286" s="10"/>
      <c r="N286" s="10"/>
      <c r="O286" s="10"/>
      <c r="P286" s="10"/>
    </row>
    <row r="287" spans="1:16" x14ac:dyDescent="0.25">
      <c r="A287" s="1"/>
      <c r="B287" s="10"/>
      <c r="C287" s="42"/>
      <c r="D287" s="43"/>
      <c r="E287" s="10"/>
      <c r="F287" s="42"/>
      <c r="G287" s="43"/>
      <c r="H287" s="10"/>
      <c r="I287" s="10"/>
      <c r="J287" s="42"/>
      <c r="K287" s="43"/>
      <c r="L287" s="43"/>
      <c r="M287" s="10"/>
      <c r="N287" s="10"/>
      <c r="O287" s="10"/>
      <c r="P287" s="10"/>
    </row>
    <row r="288" spans="1:16" x14ac:dyDescent="0.25">
      <c r="A288" s="1"/>
      <c r="B288" s="10"/>
      <c r="C288" s="42"/>
      <c r="D288" s="43"/>
      <c r="E288" s="10"/>
      <c r="F288" s="42"/>
      <c r="G288" s="43"/>
      <c r="H288" s="10"/>
      <c r="I288" s="10"/>
      <c r="J288" s="42"/>
      <c r="K288" s="43"/>
      <c r="L288" s="43"/>
      <c r="M288" s="10"/>
      <c r="N288" s="10"/>
      <c r="O288" s="10"/>
      <c r="P288" s="10"/>
    </row>
    <row r="289" spans="1:16" x14ac:dyDescent="0.25">
      <c r="A289" s="1"/>
      <c r="B289" s="10"/>
      <c r="C289" s="42"/>
      <c r="D289" s="43"/>
      <c r="E289" s="10"/>
      <c r="F289" s="42"/>
      <c r="G289" s="43"/>
      <c r="H289" s="10"/>
      <c r="I289" s="10"/>
      <c r="J289" s="42"/>
      <c r="K289" s="43"/>
      <c r="L289" s="43"/>
      <c r="M289" s="10"/>
      <c r="N289" s="10"/>
      <c r="O289" s="10"/>
      <c r="P289" s="10"/>
    </row>
    <row r="290" spans="1:16" x14ac:dyDescent="0.25">
      <c r="A290" s="1"/>
      <c r="B290" s="10"/>
      <c r="C290" s="42"/>
      <c r="D290" s="43"/>
      <c r="E290" s="10"/>
      <c r="F290" s="42"/>
      <c r="G290" s="43"/>
      <c r="H290" s="10"/>
      <c r="I290" s="10"/>
      <c r="J290" s="42"/>
      <c r="K290" s="43"/>
      <c r="L290" s="43"/>
      <c r="M290" s="10"/>
      <c r="N290" s="10"/>
      <c r="O290" s="10"/>
      <c r="P290" s="10"/>
    </row>
    <row r="291" spans="1:16" x14ac:dyDescent="0.25">
      <c r="A291" s="1"/>
      <c r="B291" s="10"/>
      <c r="C291" s="42"/>
      <c r="D291" s="43"/>
      <c r="E291" s="10"/>
      <c r="F291" s="42"/>
      <c r="G291" s="43"/>
      <c r="H291" s="10"/>
      <c r="I291" s="10"/>
      <c r="J291" s="42"/>
      <c r="K291" s="43"/>
      <c r="L291" s="43"/>
      <c r="M291" s="10"/>
      <c r="N291" s="10"/>
      <c r="O291" s="10"/>
      <c r="P291" s="10"/>
    </row>
    <row r="292" spans="1:16" x14ac:dyDescent="0.25">
      <c r="A292" s="1"/>
      <c r="B292" s="10"/>
      <c r="C292" s="42"/>
      <c r="D292" s="43"/>
      <c r="E292" s="10"/>
      <c r="F292" s="42"/>
      <c r="G292" s="43"/>
      <c r="H292" s="10"/>
      <c r="I292" s="10"/>
      <c r="J292" s="42"/>
      <c r="K292" s="43"/>
      <c r="L292" s="43"/>
      <c r="M292" s="10"/>
      <c r="N292" s="10"/>
      <c r="O292" s="10"/>
      <c r="P292" s="10"/>
    </row>
    <row r="293" spans="1:16" x14ac:dyDescent="0.25">
      <c r="A293" s="1"/>
      <c r="B293" s="10"/>
      <c r="C293" s="42"/>
      <c r="D293" s="43"/>
      <c r="E293" s="10"/>
      <c r="F293" s="42"/>
      <c r="G293" s="43"/>
      <c r="H293" s="10"/>
      <c r="I293" s="10"/>
      <c r="J293" s="42"/>
      <c r="K293" s="43"/>
      <c r="L293" s="43"/>
      <c r="M293" s="10"/>
      <c r="N293" s="10"/>
      <c r="O293" s="10"/>
      <c r="P293" s="10"/>
    </row>
    <row r="294" spans="1:16" x14ac:dyDescent="0.25">
      <c r="A294" s="1"/>
      <c r="B294" s="10"/>
      <c r="C294" s="42"/>
      <c r="D294" s="43"/>
      <c r="E294" s="10"/>
      <c r="F294" s="42"/>
      <c r="G294" s="43"/>
      <c r="H294" s="10"/>
      <c r="I294" s="10"/>
      <c r="J294" s="42"/>
      <c r="K294" s="43"/>
      <c r="L294" s="43"/>
      <c r="M294" s="10"/>
      <c r="N294" s="10"/>
      <c r="O294" s="10"/>
      <c r="P294" s="10"/>
    </row>
    <row r="295" spans="1:16" x14ac:dyDescent="0.25">
      <c r="A295" s="1"/>
      <c r="B295" s="10"/>
      <c r="C295" s="42"/>
      <c r="D295" s="43"/>
      <c r="E295" s="10"/>
      <c r="F295" s="42"/>
      <c r="G295" s="43"/>
      <c r="H295" s="10"/>
      <c r="I295" s="10"/>
      <c r="J295" s="42"/>
      <c r="K295" s="43"/>
      <c r="L295" s="43"/>
      <c r="M295" s="10"/>
      <c r="N295" s="10"/>
      <c r="O295" s="10"/>
      <c r="P295" s="10"/>
    </row>
    <row r="296" spans="1:16" x14ac:dyDescent="0.25">
      <c r="A296" s="1"/>
      <c r="B296" s="10"/>
      <c r="C296" s="42"/>
      <c r="D296" s="43"/>
      <c r="E296" s="10"/>
      <c r="F296" s="42"/>
      <c r="G296" s="43"/>
      <c r="H296" s="10"/>
      <c r="I296" s="10"/>
      <c r="J296" s="42"/>
      <c r="K296" s="43"/>
      <c r="L296" s="43"/>
      <c r="M296" s="10"/>
      <c r="N296" s="10"/>
      <c r="O296" s="10"/>
      <c r="P296" s="10"/>
    </row>
    <row r="297" spans="1:16" x14ac:dyDescent="0.25">
      <c r="A297" s="1"/>
      <c r="B297" s="10"/>
      <c r="C297" s="42"/>
      <c r="D297" s="43"/>
      <c r="E297" s="10"/>
      <c r="F297" s="42"/>
      <c r="G297" s="43"/>
      <c r="H297" s="10"/>
      <c r="I297" s="10"/>
      <c r="J297" s="42"/>
      <c r="K297" s="43"/>
      <c r="L297" s="43"/>
      <c r="M297" s="10"/>
      <c r="N297" s="10"/>
      <c r="O297" s="10"/>
      <c r="P297" s="10"/>
    </row>
    <row r="298" spans="1:16" x14ac:dyDescent="0.25">
      <c r="A298" s="1"/>
      <c r="B298" s="10"/>
      <c r="C298" s="42"/>
      <c r="D298" s="43"/>
      <c r="E298" s="10"/>
      <c r="F298" s="42"/>
      <c r="G298" s="43"/>
      <c r="H298" s="10"/>
      <c r="I298" s="10"/>
      <c r="J298" s="42"/>
      <c r="K298" s="43"/>
      <c r="L298" s="43"/>
      <c r="M298" s="10"/>
      <c r="N298" s="10"/>
      <c r="O298" s="10"/>
      <c r="P298" s="10"/>
    </row>
    <row r="299" spans="1:16" x14ac:dyDescent="0.25">
      <c r="A299" s="1"/>
      <c r="B299" s="10"/>
      <c r="C299" s="42"/>
      <c r="D299" s="43"/>
      <c r="E299" s="10"/>
      <c r="F299" s="42"/>
      <c r="G299" s="43"/>
      <c r="H299" s="10"/>
      <c r="I299" s="10"/>
      <c r="J299" s="42"/>
      <c r="K299" s="43"/>
      <c r="L299" s="43"/>
      <c r="M299" s="10"/>
      <c r="N299" s="10"/>
      <c r="O299" s="10"/>
      <c r="P299" s="10"/>
    </row>
    <row r="300" spans="1:16" x14ac:dyDescent="0.25">
      <c r="A300" s="1"/>
      <c r="B300" s="10"/>
      <c r="C300" s="42"/>
      <c r="D300" s="43"/>
      <c r="E300" s="10"/>
      <c r="F300" s="42"/>
      <c r="G300" s="43"/>
      <c r="H300" s="10"/>
      <c r="I300" s="10"/>
      <c r="J300" s="42"/>
      <c r="K300" s="43"/>
      <c r="L300" s="43"/>
      <c r="M300" s="10"/>
      <c r="N300" s="10"/>
      <c r="O300" s="10"/>
      <c r="P300" s="10"/>
    </row>
    <row r="301" spans="1:16" x14ac:dyDescent="0.25">
      <c r="A301" s="1"/>
      <c r="B301" s="10"/>
      <c r="C301" s="42"/>
      <c r="D301" s="43"/>
      <c r="E301" s="10"/>
      <c r="F301" s="42"/>
      <c r="G301" s="43"/>
      <c r="H301" s="10"/>
      <c r="I301" s="10"/>
      <c r="J301" s="42"/>
      <c r="K301" s="43"/>
      <c r="L301" s="43"/>
      <c r="M301" s="10"/>
      <c r="N301" s="10"/>
      <c r="O301" s="10"/>
      <c r="P301" s="10"/>
    </row>
    <row r="302" spans="1:16" x14ac:dyDescent="0.25">
      <c r="A302" s="1"/>
      <c r="B302" s="10"/>
      <c r="C302" s="42"/>
      <c r="D302" s="43"/>
      <c r="E302" s="10"/>
      <c r="F302" s="42"/>
      <c r="G302" s="43"/>
      <c r="H302" s="10"/>
      <c r="I302" s="10"/>
      <c r="J302" s="42"/>
      <c r="K302" s="43"/>
      <c r="L302" s="43"/>
      <c r="M302" s="10"/>
      <c r="N302" s="10"/>
      <c r="O302" s="10"/>
      <c r="P302" s="10"/>
    </row>
    <row r="303" spans="1:16" x14ac:dyDescent="0.25">
      <c r="A303" s="1"/>
      <c r="B303" s="10"/>
      <c r="C303" s="42"/>
      <c r="D303" s="43"/>
      <c r="E303" s="10"/>
      <c r="F303" s="42"/>
      <c r="G303" s="43"/>
      <c r="H303" s="10"/>
      <c r="I303" s="10"/>
      <c r="J303" s="42"/>
      <c r="K303" s="43"/>
      <c r="L303" s="43"/>
      <c r="M303" s="10"/>
      <c r="N303" s="10"/>
      <c r="O303" s="10"/>
      <c r="P303" s="10"/>
    </row>
    <row r="304" spans="1:16" x14ac:dyDescent="0.25">
      <c r="A304" s="1"/>
      <c r="B304" s="10"/>
      <c r="C304" s="42"/>
      <c r="D304" s="43"/>
      <c r="E304" s="10"/>
      <c r="F304" s="42"/>
      <c r="G304" s="43"/>
      <c r="H304" s="10"/>
      <c r="I304" s="10"/>
      <c r="J304" s="42"/>
      <c r="K304" s="43"/>
      <c r="L304" s="43"/>
      <c r="M304" s="10"/>
      <c r="N304" s="10"/>
      <c r="O304" s="10"/>
      <c r="P304" s="10"/>
    </row>
    <row r="305" spans="1:16" x14ac:dyDescent="0.25">
      <c r="A305" s="1"/>
      <c r="B305" s="10"/>
      <c r="C305" s="42"/>
      <c r="D305" s="43"/>
      <c r="E305" s="10"/>
      <c r="F305" s="42"/>
      <c r="G305" s="43"/>
      <c r="H305" s="10"/>
      <c r="I305" s="10"/>
      <c r="J305" s="42"/>
      <c r="K305" s="43"/>
      <c r="L305" s="43"/>
      <c r="M305" s="10"/>
      <c r="N305" s="10"/>
      <c r="O305" s="10"/>
      <c r="P305" s="10"/>
    </row>
    <row r="306" spans="1:16" x14ac:dyDescent="0.25">
      <c r="A306" s="1"/>
      <c r="B306" s="10"/>
      <c r="C306" s="42"/>
      <c r="D306" s="43"/>
      <c r="E306" s="10"/>
      <c r="F306" s="42"/>
      <c r="G306" s="43"/>
      <c r="H306" s="10"/>
      <c r="I306" s="10"/>
      <c r="J306" s="42"/>
      <c r="K306" s="43"/>
      <c r="L306" s="43"/>
      <c r="M306" s="10"/>
      <c r="N306" s="10"/>
      <c r="O306" s="10"/>
      <c r="P306" s="10"/>
    </row>
    <row r="307" spans="1:16" x14ac:dyDescent="0.25">
      <c r="A307" s="1"/>
      <c r="B307" s="10"/>
      <c r="C307" s="42"/>
      <c r="D307" s="43"/>
      <c r="E307" s="10"/>
      <c r="F307" s="42"/>
      <c r="G307" s="43"/>
      <c r="H307" s="10"/>
      <c r="I307" s="10"/>
      <c r="J307" s="42"/>
      <c r="K307" s="43"/>
      <c r="L307" s="43"/>
      <c r="M307" s="10"/>
      <c r="N307" s="10"/>
      <c r="O307" s="10"/>
      <c r="P307" s="10"/>
    </row>
    <row r="308" spans="1:16" x14ac:dyDescent="0.25">
      <c r="A308" s="1"/>
      <c r="B308" s="10"/>
      <c r="C308" s="42"/>
      <c r="D308" s="43"/>
      <c r="E308" s="10"/>
      <c r="F308" s="42"/>
      <c r="G308" s="43"/>
      <c r="H308" s="10"/>
      <c r="I308" s="10"/>
      <c r="J308" s="42"/>
      <c r="K308" s="43"/>
      <c r="L308" s="43"/>
      <c r="M308" s="10"/>
      <c r="N308" s="10"/>
      <c r="O308" s="10"/>
      <c r="P308" s="10"/>
    </row>
    <row r="309" spans="1:16" x14ac:dyDescent="0.25">
      <c r="A309" s="1"/>
      <c r="B309" s="10"/>
      <c r="C309" s="42"/>
      <c r="D309" s="43"/>
      <c r="E309" s="10"/>
      <c r="F309" s="42"/>
      <c r="G309" s="43"/>
      <c r="H309" s="10"/>
      <c r="I309" s="10"/>
      <c r="J309" s="42"/>
      <c r="K309" s="43"/>
      <c r="L309" s="43"/>
      <c r="M309" s="10"/>
      <c r="N309" s="10"/>
      <c r="O309" s="10"/>
      <c r="P309" s="10"/>
    </row>
    <row r="310" spans="1:16" x14ac:dyDescent="0.25">
      <c r="A310" s="1"/>
      <c r="B310" s="10"/>
      <c r="C310" s="42"/>
      <c r="D310" s="43"/>
      <c r="E310" s="10"/>
      <c r="F310" s="42"/>
      <c r="G310" s="43"/>
      <c r="H310" s="10"/>
      <c r="I310" s="10"/>
      <c r="J310" s="42"/>
      <c r="K310" s="43"/>
      <c r="L310" s="43"/>
      <c r="M310" s="10"/>
      <c r="N310" s="10"/>
      <c r="O310" s="10"/>
      <c r="P310" s="10"/>
    </row>
    <row r="311" spans="1:16" x14ac:dyDescent="0.25">
      <c r="A311" s="1"/>
      <c r="B311" s="10"/>
      <c r="C311" s="42"/>
      <c r="D311" s="43"/>
      <c r="E311" s="10"/>
      <c r="F311" s="42"/>
      <c r="G311" s="43"/>
      <c r="H311" s="10"/>
      <c r="I311" s="10"/>
      <c r="J311" s="42"/>
      <c r="K311" s="43"/>
      <c r="L311" s="43"/>
      <c r="M311" s="10"/>
      <c r="N311" s="10"/>
      <c r="O311" s="10"/>
      <c r="P311" s="10"/>
    </row>
    <row r="312" spans="1:16" x14ac:dyDescent="0.25">
      <c r="A312" s="1"/>
      <c r="B312" s="10"/>
      <c r="C312" s="42"/>
      <c r="D312" s="43"/>
      <c r="E312" s="10"/>
      <c r="F312" s="42"/>
      <c r="G312" s="43"/>
      <c r="H312" s="10"/>
      <c r="I312" s="10"/>
      <c r="J312" s="42"/>
      <c r="K312" s="43"/>
      <c r="L312" s="43"/>
      <c r="M312" s="10"/>
      <c r="N312" s="10"/>
      <c r="O312" s="10"/>
      <c r="P312" s="10"/>
    </row>
    <row r="313" spans="1:16" x14ac:dyDescent="0.25">
      <c r="A313" s="1"/>
      <c r="B313" s="10"/>
      <c r="C313" s="42"/>
      <c r="D313" s="43"/>
      <c r="E313" s="10"/>
      <c r="F313" s="42"/>
      <c r="G313" s="43"/>
      <c r="H313" s="10"/>
      <c r="I313" s="10"/>
      <c r="J313" s="42"/>
      <c r="K313" s="43"/>
      <c r="L313" s="43"/>
      <c r="M313" s="10"/>
      <c r="N313" s="10"/>
      <c r="O313" s="10"/>
      <c r="P313" s="10"/>
    </row>
    <row r="314" spans="1:16" x14ac:dyDescent="0.25">
      <c r="A314" s="1"/>
      <c r="B314" s="10"/>
      <c r="C314" s="42"/>
      <c r="D314" s="43"/>
      <c r="E314" s="10"/>
      <c r="F314" s="42"/>
      <c r="G314" s="43"/>
      <c r="H314" s="10"/>
      <c r="I314" s="10"/>
      <c r="J314" s="42"/>
      <c r="K314" s="43"/>
      <c r="L314" s="43"/>
      <c r="M314" s="10"/>
      <c r="N314" s="10"/>
      <c r="O314" s="10"/>
      <c r="P314" s="10"/>
    </row>
    <row r="315" spans="1:16" x14ac:dyDescent="0.25">
      <c r="A315" s="1"/>
      <c r="B315" s="10"/>
      <c r="C315" s="42"/>
      <c r="D315" s="43"/>
      <c r="E315" s="10"/>
      <c r="F315" s="42"/>
      <c r="G315" s="43"/>
      <c r="H315" s="10"/>
      <c r="I315" s="10"/>
      <c r="J315" s="42"/>
      <c r="K315" s="43"/>
      <c r="L315" s="43"/>
      <c r="M315" s="10"/>
      <c r="N315" s="10"/>
      <c r="O315" s="10"/>
      <c r="P315" s="10"/>
    </row>
    <row r="316" spans="1:16" x14ac:dyDescent="0.25">
      <c r="A316" s="1"/>
      <c r="B316" s="10"/>
      <c r="C316" s="42"/>
      <c r="D316" s="43"/>
      <c r="E316" s="10"/>
      <c r="F316" s="42"/>
      <c r="G316" s="43"/>
      <c r="H316" s="10"/>
      <c r="I316" s="10"/>
      <c r="J316" s="42"/>
      <c r="K316" s="43"/>
      <c r="L316" s="43"/>
      <c r="M316" s="10"/>
      <c r="N316" s="10"/>
      <c r="O316" s="10"/>
      <c r="P316" s="10"/>
    </row>
    <row r="317" spans="1:16" x14ac:dyDescent="0.25">
      <c r="A317" s="1"/>
      <c r="B317" s="10"/>
      <c r="C317" s="42"/>
      <c r="D317" s="43"/>
      <c r="E317" s="10"/>
      <c r="F317" s="42"/>
      <c r="G317" s="43"/>
      <c r="H317" s="10"/>
      <c r="I317" s="10"/>
      <c r="J317" s="42"/>
      <c r="K317" s="43"/>
      <c r="L317" s="43"/>
      <c r="M317" s="10"/>
      <c r="N317" s="10"/>
      <c r="O317" s="10"/>
      <c r="P317" s="10"/>
    </row>
    <row r="318" spans="1:16" x14ac:dyDescent="0.25">
      <c r="A318" s="1"/>
      <c r="B318" s="10"/>
      <c r="C318" s="42"/>
      <c r="D318" s="43"/>
      <c r="E318" s="10"/>
      <c r="F318" s="42"/>
      <c r="G318" s="43"/>
      <c r="H318" s="10"/>
      <c r="I318" s="10"/>
      <c r="J318" s="42"/>
      <c r="K318" s="43"/>
      <c r="L318" s="43"/>
      <c r="M318" s="10"/>
      <c r="N318" s="10"/>
      <c r="O318" s="10"/>
      <c r="P318" s="10"/>
    </row>
    <row r="319" spans="1:16" x14ac:dyDescent="0.25">
      <c r="A319" s="1"/>
      <c r="B319" s="10"/>
      <c r="C319" s="42"/>
      <c r="D319" s="43"/>
      <c r="E319" s="10"/>
      <c r="F319" s="42"/>
      <c r="G319" s="43"/>
      <c r="H319" s="10"/>
      <c r="I319" s="10"/>
      <c r="J319" s="42"/>
      <c r="K319" s="43"/>
      <c r="L319" s="43"/>
      <c r="M319" s="10"/>
      <c r="N319" s="10"/>
      <c r="O319" s="10"/>
      <c r="P319" s="10"/>
    </row>
    <row r="320" spans="1:16" x14ac:dyDescent="0.25">
      <c r="A320" s="1"/>
      <c r="B320" s="10"/>
      <c r="C320" s="42"/>
      <c r="D320" s="43"/>
      <c r="E320" s="10"/>
      <c r="F320" s="42"/>
      <c r="G320" s="43"/>
      <c r="H320" s="10"/>
      <c r="I320" s="10"/>
      <c r="J320" s="42"/>
      <c r="K320" s="43"/>
      <c r="L320" s="43"/>
      <c r="M320" s="10"/>
      <c r="N320" s="10"/>
      <c r="O320" s="10"/>
      <c r="P320" s="10"/>
    </row>
    <row r="321" spans="1:16" x14ac:dyDescent="0.25">
      <c r="A321" s="1"/>
      <c r="B321" s="10"/>
      <c r="C321" s="42"/>
      <c r="D321" s="43"/>
      <c r="E321" s="10"/>
      <c r="F321" s="42"/>
      <c r="G321" s="43"/>
      <c r="H321" s="10"/>
      <c r="I321" s="10"/>
      <c r="J321" s="42"/>
      <c r="K321" s="43"/>
      <c r="L321" s="43"/>
      <c r="M321" s="10"/>
      <c r="N321" s="10"/>
      <c r="O321" s="10"/>
      <c r="P321" s="10"/>
    </row>
    <row r="322" spans="1:16" x14ac:dyDescent="0.25">
      <c r="A322" s="1"/>
      <c r="B322" s="10"/>
      <c r="C322" s="42"/>
      <c r="D322" s="43"/>
      <c r="E322" s="10"/>
      <c r="F322" s="42"/>
      <c r="G322" s="43"/>
      <c r="H322" s="10"/>
      <c r="I322" s="10"/>
      <c r="J322" s="42"/>
      <c r="K322" s="43"/>
      <c r="L322" s="43"/>
      <c r="M322" s="10"/>
      <c r="N322" s="10"/>
      <c r="O322" s="10"/>
      <c r="P322" s="10"/>
    </row>
    <row r="323" spans="1:16" x14ac:dyDescent="0.25">
      <c r="A323" s="1"/>
      <c r="B323" s="10"/>
      <c r="C323" s="42"/>
      <c r="D323" s="43"/>
      <c r="E323" s="10"/>
      <c r="F323" s="42"/>
      <c r="G323" s="43"/>
      <c r="H323" s="10"/>
      <c r="I323" s="10"/>
      <c r="J323" s="42"/>
      <c r="K323" s="43"/>
      <c r="L323" s="43"/>
      <c r="M323" s="10"/>
      <c r="N323" s="10"/>
      <c r="O323" s="10"/>
      <c r="P323" s="10"/>
    </row>
    <row r="324" spans="1:16" x14ac:dyDescent="0.25">
      <c r="A324" s="1"/>
      <c r="B324" s="10"/>
      <c r="C324" s="42"/>
      <c r="D324" s="43"/>
      <c r="E324" s="10"/>
      <c r="F324" s="42"/>
      <c r="G324" s="43"/>
      <c r="H324" s="10"/>
      <c r="I324" s="10"/>
      <c r="J324" s="42"/>
      <c r="K324" s="43"/>
      <c r="L324" s="43"/>
      <c r="M324" s="10"/>
      <c r="N324" s="10"/>
      <c r="O324" s="10"/>
      <c r="P324" s="10"/>
    </row>
    <row r="325" spans="1:16" x14ac:dyDescent="0.25">
      <c r="A325" s="1"/>
      <c r="B325" s="10"/>
      <c r="C325" s="42"/>
      <c r="D325" s="43"/>
      <c r="E325" s="10"/>
      <c r="F325" s="42"/>
      <c r="G325" s="43"/>
      <c r="H325" s="10"/>
      <c r="I325" s="10"/>
      <c r="J325" s="42"/>
      <c r="K325" s="43"/>
      <c r="L325" s="43"/>
      <c r="M325" s="10"/>
      <c r="N325" s="10"/>
      <c r="O325" s="10"/>
      <c r="P325" s="10"/>
    </row>
    <row r="326" spans="1:16" x14ac:dyDescent="0.25">
      <c r="A326" s="1"/>
      <c r="B326" s="10"/>
      <c r="C326" s="42"/>
      <c r="D326" s="43"/>
      <c r="E326" s="10"/>
      <c r="F326" s="42"/>
      <c r="G326" s="43"/>
      <c r="H326" s="10"/>
      <c r="I326" s="10"/>
      <c r="J326" s="42"/>
      <c r="K326" s="43"/>
      <c r="L326" s="43"/>
      <c r="M326" s="10"/>
      <c r="N326" s="10"/>
      <c r="O326" s="10"/>
      <c r="P326" s="10"/>
    </row>
    <row r="327" spans="1:16" x14ac:dyDescent="0.25">
      <c r="A327" s="1"/>
      <c r="B327" s="10"/>
      <c r="C327" s="42"/>
      <c r="D327" s="43"/>
      <c r="E327" s="10"/>
      <c r="F327" s="42"/>
      <c r="G327" s="43"/>
      <c r="H327" s="10"/>
      <c r="I327" s="10"/>
      <c r="J327" s="42"/>
      <c r="K327" s="43"/>
      <c r="L327" s="43"/>
      <c r="M327" s="10"/>
      <c r="N327" s="10"/>
      <c r="O327" s="10"/>
      <c r="P327" s="10"/>
    </row>
    <row r="328" spans="1:16" x14ac:dyDescent="0.25">
      <c r="A328" s="1"/>
      <c r="B328" s="10"/>
      <c r="C328" s="42"/>
      <c r="D328" s="43"/>
      <c r="E328" s="10"/>
      <c r="F328" s="42"/>
      <c r="G328" s="43"/>
      <c r="H328" s="10"/>
      <c r="I328" s="10"/>
      <c r="J328" s="42"/>
      <c r="K328" s="43"/>
      <c r="L328" s="43"/>
      <c r="M328" s="10"/>
      <c r="N328" s="10"/>
      <c r="O328" s="10"/>
      <c r="P328" s="10"/>
    </row>
    <row r="329" spans="1:16" x14ac:dyDescent="0.25">
      <c r="A329" s="1"/>
      <c r="B329" s="10"/>
      <c r="C329" s="42"/>
      <c r="D329" s="43"/>
      <c r="E329" s="10"/>
      <c r="F329" s="42"/>
      <c r="G329" s="43"/>
      <c r="H329" s="10"/>
      <c r="I329" s="10"/>
      <c r="J329" s="42"/>
      <c r="K329" s="43"/>
      <c r="L329" s="43"/>
      <c r="M329" s="10"/>
      <c r="N329" s="10"/>
      <c r="O329" s="10"/>
      <c r="P329" s="10"/>
    </row>
    <row r="330" spans="1:16" x14ac:dyDescent="0.25">
      <c r="A330" s="1"/>
      <c r="B330" s="10"/>
      <c r="C330" s="42"/>
      <c r="D330" s="43"/>
      <c r="E330" s="10"/>
      <c r="F330" s="42"/>
      <c r="G330" s="43"/>
      <c r="H330" s="10"/>
      <c r="I330" s="10"/>
      <c r="J330" s="42"/>
      <c r="K330" s="43"/>
      <c r="L330" s="43"/>
      <c r="M330" s="10"/>
      <c r="N330" s="10"/>
      <c r="O330" s="10"/>
      <c r="P330" s="10"/>
    </row>
    <row r="331" spans="1:16" x14ac:dyDescent="0.25">
      <c r="A331" s="1"/>
      <c r="B331" s="10"/>
      <c r="C331" s="42"/>
      <c r="D331" s="43"/>
      <c r="E331" s="10"/>
      <c r="F331" s="42"/>
      <c r="G331" s="43"/>
      <c r="H331" s="10"/>
      <c r="I331" s="10"/>
      <c r="J331" s="42"/>
      <c r="K331" s="43"/>
      <c r="L331" s="43"/>
      <c r="M331" s="10"/>
      <c r="N331" s="10"/>
      <c r="O331" s="10"/>
      <c r="P331" s="10"/>
    </row>
    <row r="332" spans="1:16" x14ac:dyDescent="0.25">
      <c r="A332" s="1"/>
      <c r="B332" s="10"/>
      <c r="C332" s="42"/>
      <c r="D332" s="43"/>
      <c r="E332" s="10"/>
      <c r="F332" s="42"/>
      <c r="G332" s="43"/>
      <c r="H332" s="10"/>
      <c r="I332" s="10"/>
      <c r="J332" s="42"/>
      <c r="K332" s="43"/>
      <c r="L332" s="43"/>
      <c r="M332" s="10"/>
      <c r="N332" s="10"/>
      <c r="O332" s="10"/>
      <c r="P332" s="10"/>
    </row>
    <row r="333" spans="1:16" x14ac:dyDescent="0.25">
      <c r="A333" s="1"/>
      <c r="B333" s="10"/>
      <c r="C333" s="42"/>
      <c r="D333" s="43"/>
      <c r="E333" s="10"/>
      <c r="F333" s="42"/>
      <c r="G333" s="43"/>
      <c r="H333" s="10"/>
      <c r="I333" s="10"/>
      <c r="J333" s="42"/>
      <c r="K333" s="43"/>
      <c r="L333" s="43"/>
      <c r="M333" s="10"/>
      <c r="N333" s="10"/>
      <c r="O333" s="10"/>
      <c r="P333" s="10"/>
    </row>
    <row r="334" spans="1:16" x14ac:dyDescent="0.25">
      <c r="A334" s="1"/>
      <c r="B334" s="10"/>
      <c r="C334" s="42"/>
      <c r="D334" s="43"/>
      <c r="E334" s="10"/>
      <c r="F334" s="42"/>
      <c r="G334" s="43"/>
      <c r="H334" s="10"/>
      <c r="I334" s="10"/>
      <c r="J334" s="42"/>
      <c r="K334" s="43"/>
      <c r="L334" s="43"/>
      <c r="M334" s="10"/>
      <c r="N334" s="10"/>
      <c r="O334" s="10"/>
      <c r="P334" s="10"/>
    </row>
    <row r="335" spans="1:16" x14ac:dyDescent="0.25">
      <c r="A335" s="1"/>
      <c r="B335" s="10"/>
      <c r="C335" s="42"/>
      <c r="D335" s="43"/>
      <c r="E335" s="10"/>
      <c r="F335" s="42"/>
      <c r="G335" s="43"/>
      <c r="H335" s="10"/>
      <c r="I335" s="10"/>
      <c r="J335" s="42"/>
      <c r="K335" s="43"/>
      <c r="L335" s="43"/>
      <c r="M335" s="10"/>
      <c r="N335" s="10"/>
      <c r="O335" s="10"/>
      <c r="P335" s="10"/>
    </row>
    <row r="336" spans="1:16" x14ac:dyDescent="0.25">
      <c r="A336" s="1"/>
      <c r="B336" s="10"/>
      <c r="C336" s="42"/>
      <c r="D336" s="43"/>
      <c r="E336" s="10"/>
      <c r="F336" s="42"/>
      <c r="G336" s="43"/>
      <c r="H336" s="10"/>
      <c r="I336" s="10"/>
      <c r="J336" s="42"/>
      <c r="K336" s="43"/>
      <c r="L336" s="43"/>
      <c r="M336" s="10"/>
      <c r="N336" s="10"/>
      <c r="O336" s="10"/>
      <c r="P336" s="10"/>
    </row>
    <row r="337" spans="1:16" x14ac:dyDescent="0.25">
      <c r="A337" s="1"/>
      <c r="B337" s="10"/>
      <c r="C337" s="42"/>
      <c r="D337" s="43"/>
      <c r="E337" s="10"/>
      <c r="F337" s="42"/>
      <c r="G337" s="43"/>
      <c r="H337" s="10"/>
      <c r="I337" s="10"/>
      <c r="J337" s="42"/>
      <c r="K337" s="43"/>
      <c r="L337" s="43"/>
      <c r="M337" s="10"/>
      <c r="N337" s="10"/>
      <c r="O337" s="10"/>
      <c r="P337" s="10"/>
    </row>
    <row r="338" spans="1:16" x14ac:dyDescent="0.25">
      <c r="A338" s="1"/>
      <c r="B338" s="10"/>
      <c r="C338" s="42"/>
      <c r="D338" s="43"/>
      <c r="E338" s="10"/>
      <c r="F338" s="42"/>
      <c r="G338" s="43"/>
      <c r="H338" s="10"/>
      <c r="I338" s="10"/>
      <c r="J338" s="42"/>
      <c r="K338" s="43"/>
      <c r="L338" s="43"/>
      <c r="M338" s="10"/>
      <c r="N338" s="10"/>
      <c r="O338" s="10"/>
      <c r="P338" s="10"/>
    </row>
    <row r="339" spans="1:16" x14ac:dyDescent="0.25">
      <c r="A339" s="1"/>
      <c r="B339" s="10"/>
      <c r="C339" s="42"/>
      <c r="D339" s="43"/>
      <c r="E339" s="10"/>
      <c r="F339" s="42"/>
      <c r="G339" s="43"/>
      <c r="H339" s="10"/>
      <c r="I339" s="10"/>
      <c r="J339" s="42"/>
      <c r="K339" s="43"/>
      <c r="L339" s="43"/>
      <c r="M339" s="10"/>
      <c r="N339" s="10"/>
      <c r="O339" s="10"/>
      <c r="P339" s="10"/>
    </row>
    <row r="340" spans="1:16" x14ac:dyDescent="0.25">
      <c r="A340" s="1"/>
      <c r="B340" s="10"/>
      <c r="C340" s="42"/>
      <c r="D340" s="43"/>
      <c r="E340" s="10"/>
      <c r="F340" s="42"/>
      <c r="G340" s="43"/>
      <c r="H340" s="10"/>
      <c r="I340" s="10"/>
      <c r="J340" s="42"/>
      <c r="K340" s="43"/>
      <c r="L340" s="43"/>
      <c r="M340" s="10"/>
      <c r="N340" s="10"/>
      <c r="O340" s="10"/>
      <c r="P340" s="10"/>
    </row>
    <row r="341" spans="1:16" x14ac:dyDescent="0.25">
      <c r="A341" s="1"/>
      <c r="B341" s="10"/>
      <c r="C341" s="42"/>
      <c r="D341" s="43"/>
      <c r="E341" s="10"/>
      <c r="F341" s="42"/>
      <c r="G341" s="43"/>
      <c r="H341" s="10"/>
      <c r="I341" s="10"/>
      <c r="J341" s="42"/>
      <c r="K341" s="43"/>
      <c r="L341" s="43"/>
      <c r="M341" s="10"/>
      <c r="N341" s="10"/>
      <c r="O341" s="10"/>
      <c r="P341" s="10"/>
    </row>
    <row r="342" spans="1:16" x14ac:dyDescent="0.25">
      <c r="A342" s="1"/>
      <c r="B342" s="10"/>
      <c r="C342" s="42"/>
      <c r="D342" s="43"/>
      <c r="E342" s="10"/>
      <c r="F342" s="42"/>
      <c r="G342" s="43"/>
      <c r="H342" s="10"/>
      <c r="I342" s="10"/>
      <c r="J342" s="42"/>
      <c r="K342" s="43"/>
      <c r="L342" s="43"/>
      <c r="M342" s="10"/>
      <c r="N342" s="10"/>
      <c r="O342" s="10"/>
      <c r="P342" s="10"/>
    </row>
    <row r="343" spans="1:16" x14ac:dyDescent="0.25">
      <c r="A343" s="1"/>
      <c r="B343" s="10"/>
      <c r="C343" s="42"/>
      <c r="D343" s="43"/>
      <c r="E343" s="10"/>
      <c r="F343" s="42"/>
      <c r="G343" s="43"/>
      <c r="H343" s="10"/>
      <c r="I343" s="10"/>
      <c r="J343" s="42"/>
      <c r="K343" s="43"/>
      <c r="L343" s="43"/>
      <c r="M343" s="10"/>
      <c r="N343" s="10"/>
      <c r="O343" s="10"/>
      <c r="P343" s="10"/>
    </row>
    <row r="344" spans="1:16" x14ac:dyDescent="0.25">
      <c r="A344" s="1"/>
      <c r="B344" s="10"/>
      <c r="C344" s="42"/>
      <c r="D344" s="43"/>
      <c r="E344" s="10"/>
      <c r="F344" s="42"/>
      <c r="G344" s="43"/>
      <c r="H344" s="10"/>
      <c r="I344" s="10"/>
      <c r="J344" s="42"/>
      <c r="K344" s="43"/>
      <c r="L344" s="43"/>
      <c r="M344" s="10"/>
      <c r="N344" s="10"/>
      <c r="O344" s="10"/>
      <c r="P344" s="10"/>
    </row>
    <row r="345" spans="1:16" x14ac:dyDescent="0.25">
      <c r="A345" s="1"/>
      <c r="B345" s="10"/>
      <c r="C345" s="42"/>
      <c r="D345" s="43"/>
      <c r="E345" s="10"/>
      <c r="F345" s="42"/>
      <c r="G345" s="43"/>
      <c r="H345" s="10"/>
      <c r="I345" s="10"/>
      <c r="J345" s="42"/>
      <c r="K345" s="43"/>
      <c r="L345" s="43"/>
      <c r="M345" s="10"/>
      <c r="N345" s="10"/>
      <c r="O345" s="10"/>
      <c r="P345" s="10"/>
    </row>
    <row r="346" spans="1:16" x14ac:dyDescent="0.25">
      <c r="A346" s="1"/>
      <c r="B346" s="10"/>
      <c r="C346" s="42"/>
      <c r="D346" s="43"/>
      <c r="E346" s="10"/>
      <c r="F346" s="42"/>
      <c r="G346" s="43"/>
      <c r="H346" s="10"/>
      <c r="I346" s="10"/>
      <c r="J346" s="42"/>
      <c r="K346" s="43"/>
      <c r="L346" s="43"/>
      <c r="M346" s="10"/>
      <c r="N346" s="10"/>
      <c r="O346" s="10"/>
      <c r="P346" s="10"/>
    </row>
    <row r="347" spans="1:16" x14ac:dyDescent="0.25">
      <c r="A347" s="1"/>
      <c r="B347" s="10"/>
      <c r="C347" s="42"/>
      <c r="D347" s="43"/>
      <c r="E347" s="10"/>
      <c r="F347" s="42"/>
      <c r="G347" s="43"/>
      <c r="H347" s="10"/>
      <c r="I347" s="10"/>
      <c r="J347" s="42"/>
      <c r="K347" s="43"/>
      <c r="L347" s="43"/>
      <c r="M347" s="10"/>
      <c r="N347" s="10"/>
      <c r="O347" s="10"/>
      <c r="P347" s="10"/>
    </row>
    <row r="348" spans="1:16" x14ac:dyDescent="0.25">
      <c r="A348" s="1"/>
      <c r="B348" s="10"/>
      <c r="C348" s="42"/>
      <c r="D348" s="43"/>
      <c r="E348" s="10"/>
      <c r="F348" s="42"/>
      <c r="G348" s="43"/>
      <c r="H348" s="10"/>
      <c r="I348" s="10"/>
      <c r="J348" s="42"/>
      <c r="K348" s="43"/>
      <c r="L348" s="43"/>
      <c r="M348" s="10"/>
      <c r="N348" s="10"/>
      <c r="O348" s="10"/>
      <c r="P348" s="10"/>
    </row>
    <row r="349" spans="1:16" x14ac:dyDescent="0.25">
      <c r="A349" s="1"/>
      <c r="B349" s="10"/>
      <c r="C349" s="42"/>
      <c r="D349" s="43"/>
      <c r="E349" s="10"/>
      <c r="F349" s="42"/>
      <c r="G349" s="43"/>
      <c r="H349" s="10"/>
      <c r="I349" s="10"/>
      <c r="J349" s="42"/>
      <c r="K349" s="43"/>
      <c r="L349" s="43"/>
      <c r="M349" s="10"/>
      <c r="N349" s="10"/>
      <c r="O349" s="10"/>
      <c r="P349" s="10"/>
    </row>
    <row r="350" spans="1:16" x14ac:dyDescent="0.25">
      <c r="A350" s="1"/>
      <c r="B350" s="10"/>
      <c r="C350" s="42"/>
      <c r="D350" s="43"/>
      <c r="E350" s="10"/>
      <c r="F350" s="42"/>
      <c r="G350" s="43"/>
      <c r="H350" s="10"/>
      <c r="I350" s="10"/>
      <c r="J350" s="42"/>
      <c r="K350" s="43"/>
      <c r="L350" s="43"/>
      <c r="M350" s="10"/>
      <c r="N350" s="10"/>
      <c r="O350" s="10"/>
      <c r="P350" s="10"/>
    </row>
    <row r="351" spans="1:16" x14ac:dyDescent="0.25">
      <c r="A351" s="1"/>
      <c r="B351" s="10"/>
      <c r="C351" s="42"/>
      <c r="D351" s="43"/>
      <c r="E351" s="10"/>
      <c r="F351" s="42"/>
      <c r="G351" s="43"/>
      <c r="H351" s="10"/>
      <c r="I351" s="10"/>
      <c r="J351" s="42"/>
      <c r="K351" s="43"/>
      <c r="L351" s="43"/>
      <c r="M351" s="10"/>
      <c r="N351" s="10"/>
      <c r="O351" s="10"/>
      <c r="P351" s="10"/>
    </row>
    <row r="352" spans="1:16" x14ac:dyDescent="0.25">
      <c r="A352" s="1"/>
      <c r="B352" s="10"/>
      <c r="C352" s="42"/>
      <c r="D352" s="43"/>
      <c r="E352" s="10"/>
      <c r="F352" s="42"/>
      <c r="G352" s="43"/>
      <c r="H352" s="10"/>
      <c r="I352" s="10"/>
      <c r="J352" s="42"/>
      <c r="K352" s="43"/>
      <c r="L352" s="43"/>
      <c r="M352" s="10"/>
      <c r="N352" s="10"/>
      <c r="O352" s="10"/>
      <c r="P352" s="10"/>
    </row>
    <row r="353" spans="1:16" x14ac:dyDescent="0.25">
      <c r="A353" s="1"/>
      <c r="B353" s="10"/>
      <c r="C353" s="42"/>
      <c r="D353" s="43"/>
      <c r="E353" s="10"/>
      <c r="F353" s="42"/>
      <c r="G353" s="43"/>
      <c r="H353" s="10"/>
      <c r="I353" s="10"/>
      <c r="J353" s="42"/>
      <c r="K353" s="43"/>
      <c r="L353" s="43"/>
      <c r="M353" s="10"/>
      <c r="N353" s="10"/>
      <c r="O353" s="10"/>
      <c r="P353" s="10"/>
    </row>
    <row r="354" spans="1:16" x14ac:dyDescent="0.25">
      <c r="A354" s="1"/>
      <c r="B354" s="10"/>
      <c r="C354" s="42"/>
      <c r="D354" s="43"/>
      <c r="E354" s="10"/>
      <c r="F354" s="42"/>
      <c r="G354" s="43"/>
      <c r="H354" s="10"/>
      <c r="I354" s="10"/>
      <c r="J354" s="42"/>
      <c r="K354" s="43"/>
      <c r="L354" s="43"/>
      <c r="M354" s="10"/>
      <c r="N354" s="10"/>
      <c r="O354" s="10"/>
      <c r="P354" s="10"/>
    </row>
    <row r="355" spans="1:16" x14ac:dyDescent="0.25">
      <c r="A355" s="1"/>
      <c r="B355" s="10"/>
      <c r="C355" s="42"/>
      <c r="D355" s="43"/>
      <c r="E355" s="10"/>
      <c r="F355" s="42"/>
      <c r="G355" s="43"/>
      <c r="H355" s="10"/>
      <c r="I355" s="10"/>
      <c r="J355" s="42"/>
      <c r="K355" s="43"/>
      <c r="L355" s="43"/>
      <c r="M355" s="10"/>
      <c r="N355" s="10"/>
      <c r="O355" s="10"/>
      <c r="P355" s="10"/>
    </row>
    <row r="356" spans="1:16" x14ac:dyDescent="0.25">
      <c r="A356" s="1"/>
      <c r="B356" s="10"/>
      <c r="C356" s="42"/>
      <c r="D356" s="43"/>
      <c r="E356" s="10"/>
      <c r="F356" s="42"/>
      <c r="G356" s="43"/>
      <c r="H356" s="10"/>
      <c r="I356" s="10"/>
      <c r="J356" s="42"/>
      <c r="K356" s="43"/>
      <c r="L356" s="43"/>
      <c r="M356" s="10"/>
      <c r="N356" s="10"/>
      <c r="O356" s="10"/>
      <c r="P356" s="10"/>
    </row>
    <row r="357" spans="1:16" x14ac:dyDescent="0.25">
      <c r="A357" s="1"/>
      <c r="B357" s="10"/>
      <c r="C357" s="42"/>
      <c r="D357" s="43"/>
      <c r="E357" s="10"/>
      <c r="F357" s="42"/>
      <c r="G357" s="43"/>
      <c r="H357" s="10"/>
      <c r="I357" s="10"/>
      <c r="J357" s="42"/>
      <c r="K357" s="43"/>
      <c r="L357" s="43"/>
      <c r="M357" s="10"/>
      <c r="N357" s="10"/>
      <c r="O357" s="10"/>
      <c r="P357" s="10"/>
    </row>
    <row r="358" spans="1:16" x14ac:dyDescent="0.25">
      <c r="A358" s="1"/>
      <c r="B358" s="10"/>
      <c r="C358" s="42"/>
      <c r="D358" s="43"/>
      <c r="E358" s="10"/>
      <c r="F358" s="42"/>
      <c r="G358" s="43"/>
      <c r="H358" s="10"/>
      <c r="I358" s="10"/>
      <c r="J358" s="42"/>
      <c r="K358" s="43"/>
      <c r="L358" s="43"/>
      <c r="M358" s="10"/>
      <c r="N358" s="10"/>
      <c r="O358" s="10"/>
      <c r="P358" s="10"/>
    </row>
    <row r="359" spans="1:16" x14ac:dyDescent="0.25">
      <c r="A359" s="1"/>
      <c r="B359" s="10"/>
      <c r="C359" s="42"/>
      <c r="D359" s="43"/>
      <c r="E359" s="10"/>
      <c r="F359" s="42"/>
      <c r="G359" s="43"/>
      <c r="H359" s="10"/>
      <c r="I359" s="10"/>
      <c r="J359" s="42"/>
      <c r="K359" s="43"/>
      <c r="L359" s="43"/>
      <c r="M359" s="10"/>
      <c r="N359" s="10"/>
      <c r="O359" s="10"/>
      <c r="P359" s="10"/>
    </row>
    <row r="360" spans="1:16" x14ac:dyDescent="0.25">
      <c r="A360" s="1"/>
      <c r="B360" s="10"/>
      <c r="C360" s="42"/>
      <c r="D360" s="43"/>
      <c r="E360" s="10"/>
      <c r="F360" s="42"/>
      <c r="G360" s="43"/>
      <c r="H360" s="10"/>
      <c r="I360" s="10"/>
      <c r="J360" s="42"/>
      <c r="K360" s="43"/>
      <c r="L360" s="43"/>
      <c r="M360" s="10"/>
      <c r="N360" s="10"/>
      <c r="O360" s="10"/>
      <c r="P360" s="10"/>
    </row>
    <row r="361" spans="1:16" x14ac:dyDescent="0.25">
      <c r="A361" s="1"/>
      <c r="B361" s="10"/>
      <c r="C361" s="42"/>
      <c r="D361" s="43"/>
      <c r="E361" s="10"/>
      <c r="F361" s="42"/>
      <c r="G361" s="43"/>
      <c r="H361" s="10"/>
      <c r="I361" s="10"/>
      <c r="J361" s="42"/>
      <c r="K361" s="43"/>
      <c r="L361" s="43"/>
      <c r="M361" s="10"/>
      <c r="N361" s="10"/>
      <c r="O361" s="10"/>
      <c r="P361" s="10"/>
    </row>
    <row r="362" spans="1:16" x14ac:dyDescent="0.25">
      <c r="A362" s="1"/>
      <c r="B362" s="10"/>
      <c r="C362" s="42"/>
      <c r="D362" s="43"/>
      <c r="E362" s="10"/>
      <c r="F362" s="42"/>
      <c r="G362" s="43"/>
      <c r="H362" s="10"/>
      <c r="I362" s="10"/>
      <c r="J362" s="42"/>
      <c r="K362" s="43"/>
      <c r="L362" s="43"/>
      <c r="M362" s="10"/>
      <c r="N362" s="10"/>
      <c r="O362" s="10"/>
      <c r="P362" s="10"/>
    </row>
    <row r="363" spans="1:16" x14ac:dyDescent="0.25">
      <c r="A363" s="1"/>
      <c r="B363" s="10"/>
      <c r="C363" s="42"/>
      <c r="D363" s="43"/>
      <c r="E363" s="10"/>
      <c r="F363" s="42"/>
      <c r="G363" s="43"/>
      <c r="H363" s="10"/>
      <c r="I363" s="10"/>
      <c r="J363" s="42"/>
      <c r="K363" s="43"/>
      <c r="L363" s="43"/>
      <c r="M363" s="10"/>
      <c r="N363" s="10"/>
      <c r="O363" s="10"/>
      <c r="P363" s="10"/>
    </row>
    <row r="364" spans="1:16" x14ac:dyDescent="0.25">
      <c r="A364" s="1"/>
      <c r="B364" s="10"/>
      <c r="C364" s="42"/>
      <c r="D364" s="43"/>
      <c r="E364" s="10"/>
      <c r="F364" s="42"/>
      <c r="G364" s="43"/>
      <c r="H364" s="10"/>
      <c r="I364" s="10"/>
      <c r="J364" s="42"/>
      <c r="K364" s="43"/>
      <c r="L364" s="43"/>
      <c r="M364" s="10"/>
      <c r="N364" s="10"/>
      <c r="O364" s="10"/>
      <c r="P364" s="10"/>
    </row>
    <row r="365" spans="1:16" x14ac:dyDescent="0.25">
      <c r="A365" s="1"/>
      <c r="B365" s="10"/>
      <c r="C365" s="42"/>
      <c r="D365" s="43"/>
      <c r="E365" s="10"/>
      <c r="F365" s="42"/>
      <c r="G365" s="43"/>
      <c r="H365" s="10"/>
      <c r="I365" s="10"/>
      <c r="J365" s="42"/>
      <c r="K365" s="43"/>
      <c r="L365" s="43"/>
      <c r="M365" s="10"/>
      <c r="N365" s="10"/>
      <c r="O365" s="10"/>
      <c r="P365" s="10"/>
    </row>
    <row r="366" spans="1:16" x14ac:dyDescent="0.25">
      <c r="A366" s="1"/>
      <c r="B366" s="10"/>
      <c r="C366" s="42"/>
      <c r="D366" s="43"/>
      <c r="E366" s="10"/>
      <c r="F366" s="42"/>
      <c r="G366" s="43"/>
      <c r="H366" s="10"/>
      <c r="I366" s="10"/>
      <c r="J366" s="42"/>
      <c r="K366" s="43"/>
      <c r="L366" s="43"/>
      <c r="M366" s="10"/>
      <c r="N366" s="10"/>
      <c r="O366" s="10"/>
      <c r="P366" s="10"/>
    </row>
    <row r="367" spans="1:16" x14ac:dyDescent="0.25">
      <c r="A367" s="1"/>
      <c r="B367" s="10"/>
      <c r="C367" s="42"/>
      <c r="D367" s="43"/>
      <c r="E367" s="10"/>
      <c r="F367" s="42"/>
      <c r="G367" s="43"/>
      <c r="H367" s="10"/>
      <c r="I367" s="10"/>
      <c r="J367" s="42"/>
      <c r="K367" s="43"/>
      <c r="L367" s="43"/>
      <c r="M367" s="10"/>
      <c r="N367" s="10"/>
      <c r="O367" s="10"/>
      <c r="P367" s="10"/>
    </row>
    <row r="368" spans="1:16" x14ac:dyDescent="0.25">
      <c r="A368" s="1"/>
      <c r="B368" s="10"/>
      <c r="C368" s="42"/>
      <c r="D368" s="43"/>
      <c r="E368" s="10"/>
      <c r="F368" s="42"/>
      <c r="G368" s="43"/>
      <c r="H368" s="10"/>
      <c r="I368" s="10"/>
      <c r="J368" s="42"/>
      <c r="K368" s="43"/>
      <c r="L368" s="43"/>
      <c r="M368" s="10"/>
      <c r="N368" s="10"/>
      <c r="O368" s="10"/>
      <c r="P368" s="10"/>
    </row>
    <row r="369" spans="1:16" x14ac:dyDescent="0.25">
      <c r="A369" s="1"/>
      <c r="B369" s="10"/>
      <c r="C369" s="42"/>
      <c r="D369" s="43"/>
      <c r="E369" s="10"/>
      <c r="F369" s="42"/>
      <c r="G369" s="43"/>
      <c r="H369" s="10"/>
      <c r="I369" s="10"/>
      <c r="J369" s="42"/>
      <c r="K369" s="43"/>
      <c r="L369" s="43"/>
      <c r="M369" s="10"/>
      <c r="N369" s="10"/>
      <c r="O369" s="10"/>
      <c r="P369" s="10"/>
    </row>
    <row r="370" spans="1:16" x14ac:dyDescent="0.25">
      <c r="A370" s="1"/>
      <c r="B370" s="10"/>
      <c r="C370" s="42"/>
      <c r="D370" s="43"/>
      <c r="E370" s="10"/>
      <c r="F370" s="42"/>
      <c r="G370" s="43"/>
      <c r="H370" s="10"/>
      <c r="I370" s="10"/>
      <c r="J370" s="42"/>
      <c r="K370" s="43"/>
      <c r="L370" s="43"/>
      <c r="M370" s="10"/>
      <c r="N370" s="10"/>
      <c r="O370" s="10"/>
      <c r="P370" s="10"/>
    </row>
    <row r="371" spans="1:16" x14ac:dyDescent="0.25">
      <c r="A371" s="1"/>
      <c r="B371" s="10"/>
      <c r="C371" s="42"/>
      <c r="D371" s="43"/>
      <c r="E371" s="10"/>
      <c r="F371" s="42"/>
      <c r="G371" s="43"/>
      <c r="H371" s="10"/>
      <c r="I371" s="10"/>
      <c r="J371" s="42"/>
      <c r="K371" s="43"/>
      <c r="L371" s="43"/>
      <c r="M371" s="10"/>
      <c r="N371" s="10"/>
      <c r="O371" s="10"/>
      <c r="P371" s="10"/>
    </row>
    <row r="372" spans="1:16" x14ac:dyDescent="0.25">
      <c r="A372" s="1"/>
      <c r="B372" s="10"/>
      <c r="C372" s="42"/>
      <c r="D372" s="43"/>
      <c r="E372" s="10"/>
      <c r="F372" s="42"/>
      <c r="G372" s="43"/>
      <c r="H372" s="10"/>
      <c r="I372" s="10"/>
      <c r="J372" s="42"/>
      <c r="K372" s="43"/>
      <c r="L372" s="43"/>
      <c r="M372" s="10"/>
      <c r="N372" s="10"/>
      <c r="O372" s="10"/>
      <c r="P372" s="10"/>
    </row>
    <row r="373" spans="1:16" x14ac:dyDescent="0.25">
      <c r="A373" s="1"/>
      <c r="B373" s="10"/>
      <c r="C373" s="42"/>
      <c r="D373" s="43"/>
      <c r="E373" s="10"/>
      <c r="F373" s="42"/>
      <c r="G373" s="43"/>
      <c r="H373" s="10"/>
      <c r="I373" s="10"/>
      <c r="J373" s="42"/>
      <c r="K373" s="43"/>
      <c r="L373" s="43"/>
      <c r="M373" s="10"/>
      <c r="N373" s="10"/>
      <c r="O373" s="10"/>
      <c r="P373" s="10"/>
    </row>
    <row r="374" spans="1:16" x14ac:dyDescent="0.25">
      <c r="A374" s="1"/>
      <c r="B374" s="10"/>
      <c r="C374" s="42"/>
      <c r="D374" s="43"/>
      <c r="E374" s="10"/>
      <c r="F374" s="42"/>
      <c r="G374" s="43"/>
      <c r="H374" s="10"/>
      <c r="I374" s="10"/>
      <c r="J374" s="42"/>
      <c r="K374" s="43"/>
      <c r="L374" s="43"/>
      <c r="M374" s="10"/>
      <c r="N374" s="10"/>
      <c r="O374" s="10"/>
      <c r="P374" s="10"/>
    </row>
    <row r="375" spans="1:16" x14ac:dyDescent="0.25">
      <c r="A375" s="1"/>
      <c r="B375" s="10"/>
      <c r="C375" s="42"/>
      <c r="D375" s="43"/>
      <c r="E375" s="10"/>
      <c r="F375" s="42"/>
      <c r="G375" s="43"/>
      <c r="H375" s="10"/>
      <c r="I375" s="10"/>
      <c r="J375" s="42"/>
      <c r="K375" s="43"/>
      <c r="L375" s="43"/>
      <c r="M375" s="10"/>
      <c r="N375" s="10"/>
      <c r="O375" s="10"/>
      <c r="P375" s="10"/>
    </row>
    <row r="376" spans="1:16" x14ac:dyDescent="0.25">
      <c r="A376" s="1"/>
      <c r="B376" s="10"/>
      <c r="C376" s="42"/>
      <c r="D376" s="43"/>
      <c r="E376" s="10"/>
      <c r="F376" s="42"/>
      <c r="G376" s="43"/>
      <c r="H376" s="10"/>
      <c r="I376" s="10"/>
      <c r="J376" s="42"/>
      <c r="K376" s="43"/>
      <c r="L376" s="43"/>
      <c r="M376" s="10"/>
      <c r="N376" s="10"/>
      <c r="O376" s="10"/>
      <c r="P376" s="10"/>
    </row>
    <row r="377" spans="1:16" x14ac:dyDescent="0.25">
      <c r="A377" s="1"/>
      <c r="B377" s="10"/>
      <c r="C377" s="42"/>
      <c r="D377" s="43"/>
      <c r="E377" s="10"/>
      <c r="F377" s="42"/>
      <c r="G377" s="43"/>
      <c r="H377" s="10"/>
      <c r="I377" s="10"/>
      <c r="J377" s="42"/>
      <c r="K377" s="43"/>
      <c r="L377" s="43"/>
      <c r="M377" s="10"/>
      <c r="N377" s="10"/>
      <c r="O377" s="10"/>
      <c r="P377" s="10"/>
    </row>
    <row r="378" spans="1:16" x14ac:dyDescent="0.25">
      <c r="A378" s="1"/>
      <c r="B378" s="10"/>
      <c r="C378" s="42"/>
      <c r="D378" s="43"/>
      <c r="E378" s="10"/>
      <c r="F378" s="42"/>
      <c r="G378" s="43"/>
      <c r="H378" s="10"/>
      <c r="I378" s="10"/>
      <c r="J378" s="42"/>
      <c r="K378" s="43"/>
      <c r="L378" s="43"/>
      <c r="M378" s="10"/>
      <c r="N378" s="10"/>
      <c r="O378" s="10"/>
      <c r="P378" s="10"/>
    </row>
    <row r="379" spans="1:16" x14ac:dyDescent="0.25">
      <c r="A379" s="1"/>
      <c r="B379" s="10"/>
      <c r="C379" s="42"/>
      <c r="D379" s="43"/>
      <c r="E379" s="10"/>
      <c r="F379" s="42"/>
      <c r="G379" s="43"/>
      <c r="H379" s="10"/>
      <c r="I379" s="10"/>
      <c r="J379" s="42"/>
      <c r="K379" s="43"/>
      <c r="L379" s="43"/>
      <c r="M379" s="10"/>
      <c r="N379" s="10"/>
      <c r="O379" s="10"/>
      <c r="P379" s="10"/>
    </row>
    <row r="380" spans="1:16" x14ac:dyDescent="0.25">
      <c r="A380" s="1"/>
      <c r="B380" s="10"/>
      <c r="C380" s="42"/>
      <c r="D380" s="43"/>
      <c r="E380" s="10"/>
      <c r="F380" s="42"/>
      <c r="G380" s="43"/>
      <c r="H380" s="10"/>
      <c r="I380" s="10"/>
      <c r="J380" s="42"/>
      <c r="K380" s="43"/>
      <c r="L380" s="43"/>
      <c r="M380" s="10"/>
      <c r="N380" s="10"/>
      <c r="O380" s="10"/>
      <c r="P380" s="10"/>
    </row>
    <row r="381" spans="1:16" x14ac:dyDescent="0.25">
      <c r="A381" s="1"/>
      <c r="B381" s="10"/>
      <c r="C381" s="42"/>
      <c r="D381" s="43"/>
      <c r="E381" s="10"/>
      <c r="F381" s="42"/>
      <c r="G381" s="43"/>
      <c r="H381" s="10"/>
      <c r="I381" s="10"/>
      <c r="J381" s="42"/>
      <c r="K381" s="43"/>
      <c r="L381" s="43"/>
      <c r="M381" s="10"/>
      <c r="N381" s="10"/>
      <c r="O381" s="10"/>
      <c r="P381" s="10"/>
    </row>
    <row r="382" spans="1:16" x14ac:dyDescent="0.25">
      <c r="A382" s="1"/>
      <c r="B382" s="10"/>
      <c r="C382" s="42"/>
      <c r="D382" s="43"/>
      <c r="E382" s="10"/>
      <c r="F382" s="42"/>
      <c r="G382" s="43"/>
      <c r="H382" s="10"/>
      <c r="I382" s="10"/>
      <c r="J382" s="42"/>
      <c r="K382" s="43"/>
      <c r="L382" s="43"/>
      <c r="M382" s="10"/>
      <c r="N382" s="10"/>
      <c r="O382" s="10"/>
      <c r="P382" s="10"/>
    </row>
    <row r="383" spans="1:16" x14ac:dyDescent="0.25">
      <c r="A383" s="1"/>
      <c r="B383" s="10"/>
      <c r="C383" s="42"/>
      <c r="D383" s="43"/>
      <c r="E383" s="10"/>
      <c r="F383" s="42"/>
      <c r="G383" s="43"/>
      <c r="H383" s="10"/>
      <c r="I383" s="10"/>
      <c r="J383" s="42"/>
      <c r="K383" s="43"/>
      <c r="L383" s="43"/>
      <c r="M383" s="10"/>
      <c r="N383" s="10"/>
      <c r="O383" s="10"/>
      <c r="P383" s="10"/>
    </row>
    <row r="384" spans="1:16" x14ac:dyDescent="0.25">
      <c r="A384" s="1"/>
      <c r="B384" s="10"/>
      <c r="C384" s="42"/>
      <c r="D384" s="43"/>
      <c r="E384" s="10"/>
      <c r="F384" s="42"/>
      <c r="G384" s="43"/>
      <c r="H384" s="10"/>
      <c r="I384" s="10"/>
      <c r="J384" s="42"/>
      <c r="K384" s="43"/>
      <c r="L384" s="43"/>
      <c r="M384" s="10"/>
      <c r="N384" s="10"/>
      <c r="O384" s="10"/>
      <c r="P384" s="10"/>
    </row>
    <row r="385" spans="1:16" x14ac:dyDescent="0.25">
      <c r="A385" s="1"/>
      <c r="B385" s="10"/>
      <c r="C385" s="42"/>
      <c r="D385" s="43"/>
      <c r="E385" s="10"/>
      <c r="F385" s="42"/>
      <c r="G385" s="43"/>
      <c r="H385" s="10"/>
      <c r="I385" s="10"/>
      <c r="J385" s="42"/>
      <c r="K385" s="43"/>
      <c r="L385" s="43"/>
      <c r="M385" s="10"/>
      <c r="N385" s="10"/>
      <c r="O385" s="10"/>
      <c r="P385" s="10"/>
    </row>
    <row r="386" spans="1:16" x14ac:dyDescent="0.25">
      <c r="A386" s="1"/>
      <c r="B386" s="10"/>
      <c r="C386" s="42"/>
      <c r="D386" s="43"/>
      <c r="E386" s="10"/>
      <c r="F386" s="42"/>
      <c r="G386" s="43"/>
      <c r="H386" s="10"/>
      <c r="I386" s="10"/>
      <c r="J386" s="42"/>
      <c r="K386" s="43"/>
      <c r="L386" s="43"/>
      <c r="M386" s="10"/>
      <c r="N386" s="10"/>
      <c r="O386" s="10"/>
      <c r="P386" s="10"/>
    </row>
    <row r="387" spans="1:16" x14ac:dyDescent="0.25">
      <c r="A387" s="1"/>
      <c r="B387" s="10"/>
      <c r="C387" s="42"/>
      <c r="D387" s="43"/>
      <c r="E387" s="10"/>
      <c r="F387" s="42"/>
      <c r="G387" s="43"/>
      <c r="H387" s="10"/>
      <c r="I387" s="10"/>
      <c r="J387" s="42"/>
      <c r="K387" s="43"/>
      <c r="L387" s="43"/>
      <c r="M387" s="10"/>
      <c r="N387" s="10"/>
      <c r="O387" s="10"/>
      <c r="P387" s="10"/>
    </row>
    <row r="388" spans="1:16" x14ac:dyDescent="0.25">
      <c r="A388" s="1"/>
      <c r="B388" s="10"/>
      <c r="C388" s="42"/>
      <c r="D388" s="43"/>
      <c r="E388" s="10"/>
      <c r="F388" s="42"/>
      <c r="G388" s="43"/>
      <c r="H388" s="10"/>
      <c r="I388" s="10"/>
      <c r="J388" s="42"/>
      <c r="K388" s="43"/>
      <c r="L388" s="43"/>
      <c r="M388" s="10"/>
      <c r="N388" s="10"/>
      <c r="O388" s="10"/>
      <c r="P388" s="10"/>
    </row>
    <row r="389" spans="1:16" x14ac:dyDescent="0.25">
      <c r="A389" s="1"/>
      <c r="B389" s="10"/>
      <c r="C389" s="42"/>
      <c r="D389" s="43"/>
      <c r="E389" s="10"/>
      <c r="F389" s="42"/>
      <c r="G389" s="43"/>
      <c r="H389" s="10"/>
      <c r="I389" s="10"/>
      <c r="J389" s="42"/>
      <c r="K389" s="43"/>
      <c r="L389" s="43"/>
      <c r="M389" s="10"/>
      <c r="N389" s="10"/>
      <c r="O389" s="10"/>
      <c r="P389" s="10"/>
    </row>
    <row r="390" spans="1:16" x14ac:dyDescent="0.25">
      <c r="A390" s="1"/>
      <c r="B390" s="10"/>
      <c r="C390" s="42"/>
      <c r="D390" s="43"/>
      <c r="E390" s="10"/>
      <c r="F390" s="42"/>
      <c r="G390" s="43"/>
      <c r="H390" s="10"/>
      <c r="I390" s="10"/>
      <c r="J390" s="42"/>
      <c r="K390" s="43"/>
      <c r="L390" s="43"/>
      <c r="M390" s="10"/>
      <c r="N390" s="10"/>
      <c r="O390" s="10"/>
      <c r="P390" s="10"/>
    </row>
    <row r="391" spans="1:16" x14ac:dyDescent="0.25">
      <c r="A391" s="1"/>
      <c r="B391" s="10"/>
      <c r="C391" s="42"/>
      <c r="D391" s="43"/>
      <c r="E391" s="10"/>
      <c r="F391" s="42"/>
      <c r="G391" s="43"/>
      <c r="H391" s="10"/>
      <c r="I391" s="10"/>
      <c r="J391" s="42"/>
      <c r="K391" s="43"/>
      <c r="L391" s="43"/>
      <c r="M391" s="10"/>
      <c r="N391" s="10"/>
      <c r="O391" s="10"/>
      <c r="P391" s="10"/>
    </row>
    <row r="392" spans="1:16" x14ac:dyDescent="0.25">
      <c r="A392" s="1"/>
      <c r="B392" s="10"/>
      <c r="C392" s="42"/>
      <c r="D392" s="43"/>
      <c r="E392" s="10"/>
      <c r="F392" s="42"/>
      <c r="G392" s="43"/>
      <c r="H392" s="10"/>
      <c r="I392" s="10"/>
      <c r="J392" s="42"/>
      <c r="K392" s="43"/>
      <c r="L392" s="43"/>
      <c r="M392" s="10"/>
      <c r="N392" s="10"/>
      <c r="O392" s="10"/>
      <c r="P392" s="10"/>
    </row>
    <row r="393" spans="1:16" x14ac:dyDescent="0.25">
      <c r="A393" s="1"/>
      <c r="B393" s="10"/>
      <c r="C393" s="42"/>
      <c r="D393" s="43"/>
      <c r="E393" s="10"/>
      <c r="F393" s="42"/>
      <c r="G393" s="43"/>
      <c r="H393" s="10"/>
      <c r="I393" s="10"/>
      <c r="J393" s="42"/>
      <c r="K393" s="43"/>
      <c r="L393" s="43"/>
      <c r="M393" s="10"/>
      <c r="N393" s="10"/>
      <c r="O393" s="10"/>
      <c r="P393" s="10"/>
    </row>
    <row r="394" spans="1:16" x14ac:dyDescent="0.25">
      <c r="A394" s="1"/>
      <c r="B394" s="10"/>
      <c r="C394" s="42"/>
      <c r="D394" s="43"/>
      <c r="E394" s="10"/>
      <c r="F394" s="42"/>
      <c r="G394" s="43"/>
      <c r="H394" s="10"/>
      <c r="I394" s="10"/>
      <c r="J394" s="42"/>
      <c r="K394" s="43"/>
      <c r="L394" s="43"/>
      <c r="M394" s="10"/>
      <c r="N394" s="10"/>
      <c r="O394" s="10"/>
      <c r="P394" s="10"/>
    </row>
    <row r="395" spans="1:16" x14ac:dyDescent="0.25">
      <c r="A395" s="1"/>
      <c r="B395" s="10"/>
      <c r="C395" s="42"/>
      <c r="D395" s="43"/>
      <c r="E395" s="10"/>
      <c r="F395" s="42"/>
      <c r="G395" s="43"/>
      <c r="H395" s="10"/>
      <c r="I395" s="10"/>
      <c r="J395" s="42"/>
      <c r="K395" s="43"/>
      <c r="L395" s="43"/>
      <c r="M395" s="10"/>
      <c r="N395" s="10"/>
      <c r="O395" s="10"/>
      <c r="P395" s="10"/>
    </row>
    <row r="396" spans="1:16" x14ac:dyDescent="0.25">
      <c r="A396" s="1"/>
      <c r="B396" s="10"/>
      <c r="C396" s="42"/>
      <c r="D396" s="43"/>
      <c r="E396" s="10"/>
      <c r="F396" s="42"/>
      <c r="G396" s="43"/>
      <c r="H396" s="10"/>
      <c r="I396" s="10"/>
      <c r="J396" s="42"/>
      <c r="K396" s="43"/>
      <c r="L396" s="43"/>
      <c r="M396" s="10"/>
      <c r="N396" s="10"/>
      <c r="O396" s="10"/>
      <c r="P396" s="10"/>
    </row>
    <row r="397" spans="1:16" x14ac:dyDescent="0.25">
      <c r="A397" s="1"/>
      <c r="B397" s="10"/>
      <c r="C397" s="42"/>
      <c r="D397" s="43"/>
      <c r="E397" s="10"/>
      <c r="F397" s="42"/>
      <c r="G397" s="43"/>
      <c r="H397" s="10"/>
      <c r="I397" s="10"/>
      <c r="J397" s="42"/>
      <c r="K397" s="43"/>
      <c r="L397" s="43"/>
      <c r="M397" s="10"/>
      <c r="N397" s="10"/>
      <c r="O397" s="10"/>
      <c r="P397" s="10"/>
    </row>
    <row r="398" spans="1:16" x14ac:dyDescent="0.25">
      <c r="A398" s="1"/>
      <c r="B398" s="10"/>
      <c r="C398" s="42"/>
      <c r="D398" s="43"/>
      <c r="E398" s="10"/>
      <c r="F398" s="42"/>
      <c r="G398" s="43"/>
      <c r="H398" s="10"/>
      <c r="I398" s="10"/>
      <c r="J398" s="42"/>
      <c r="K398" s="43"/>
      <c r="L398" s="43"/>
      <c r="M398" s="10"/>
      <c r="N398" s="10"/>
      <c r="O398" s="10"/>
      <c r="P398" s="10"/>
    </row>
    <row r="399" spans="1:16" x14ac:dyDescent="0.25">
      <c r="A399" s="1"/>
      <c r="B399" s="10"/>
      <c r="C399" s="42"/>
      <c r="D399" s="43"/>
      <c r="E399" s="10"/>
      <c r="F399" s="42"/>
      <c r="G399" s="43"/>
      <c r="H399" s="10"/>
      <c r="I399" s="10"/>
      <c r="J399" s="42"/>
      <c r="K399" s="43"/>
      <c r="L399" s="43"/>
      <c r="M399" s="10"/>
      <c r="N399" s="10"/>
      <c r="O399" s="10"/>
      <c r="P399" s="10"/>
    </row>
    <row r="400" spans="1:16" x14ac:dyDescent="0.25">
      <c r="A400" s="1"/>
      <c r="B400" s="10"/>
      <c r="C400" s="42"/>
      <c r="D400" s="43"/>
      <c r="E400" s="10"/>
      <c r="F400" s="42"/>
      <c r="G400" s="43"/>
      <c r="H400" s="10"/>
      <c r="I400" s="10"/>
      <c r="J400" s="42"/>
      <c r="K400" s="43"/>
      <c r="L400" s="43"/>
      <c r="M400" s="10"/>
      <c r="N400" s="10"/>
      <c r="O400" s="10"/>
      <c r="P400" s="10"/>
    </row>
    <row r="401" spans="1:16" x14ac:dyDescent="0.25">
      <c r="A401" s="1"/>
      <c r="B401" s="10"/>
      <c r="C401" s="42"/>
      <c r="D401" s="43"/>
      <c r="E401" s="10"/>
      <c r="F401" s="42"/>
      <c r="G401" s="43"/>
      <c r="H401" s="10"/>
      <c r="I401" s="10"/>
      <c r="J401" s="42"/>
      <c r="K401" s="43"/>
      <c r="L401" s="43"/>
      <c r="M401" s="10"/>
      <c r="N401" s="10"/>
      <c r="O401" s="10"/>
      <c r="P401" s="10"/>
    </row>
    <row r="402" spans="1:16" x14ac:dyDescent="0.25">
      <c r="A402" s="1"/>
      <c r="B402" s="10"/>
      <c r="C402" s="42"/>
      <c r="D402" s="43"/>
      <c r="E402" s="10"/>
      <c r="F402" s="42"/>
      <c r="G402" s="43"/>
      <c r="H402" s="10"/>
      <c r="I402" s="10"/>
      <c r="J402" s="42"/>
      <c r="K402" s="43"/>
      <c r="L402" s="43"/>
      <c r="M402" s="10"/>
      <c r="N402" s="10"/>
      <c r="O402" s="10"/>
      <c r="P402" s="10"/>
    </row>
    <row r="403" spans="1:16" x14ac:dyDescent="0.25">
      <c r="A403" s="1"/>
      <c r="B403" s="10"/>
      <c r="C403" s="42"/>
      <c r="D403" s="43"/>
      <c r="E403" s="10"/>
      <c r="F403" s="42"/>
      <c r="G403" s="43"/>
      <c r="H403" s="10"/>
      <c r="I403" s="10"/>
      <c r="J403" s="42"/>
      <c r="K403" s="43"/>
      <c r="L403" s="43"/>
      <c r="M403" s="10"/>
      <c r="N403" s="10"/>
      <c r="O403" s="10"/>
      <c r="P403" s="10"/>
    </row>
    <row r="404" spans="1:16" x14ac:dyDescent="0.25">
      <c r="A404" s="1"/>
      <c r="B404" s="10"/>
      <c r="C404" s="42"/>
      <c r="D404" s="43"/>
      <c r="E404" s="10"/>
      <c r="F404" s="42"/>
      <c r="G404" s="43"/>
      <c r="H404" s="10"/>
      <c r="I404" s="10"/>
      <c r="J404" s="42"/>
      <c r="K404" s="43"/>
      <c r="L404" s="43"/>
      <c r="M404" s="10"/>
      <c r="N404" s="10"/>
      <c r="O404" s="10"/>
      <c r="P404" s="10"/>
    </row>
    <row r="405" spans="1:16" x14ac:dyDescent="0.25">
      <c r="A405" s="1"/>
      <c r="B405" s="10"/>
      <c r="C405" s="42"/>
      <c r="D405" s="43"/>
      <c r="E405" s="10"/>
      <c r="F405" s="42"/>
      <c r="G405" s="43"/>
      <c r="H405" s="10"/>
      <c r="I405" s="10"/>
      <c r="J405" s="42"/>
      <c r="K405" s="43"/>
      <c r="L405" s="43"/>
      <c r="M405" s="10"/>
      <c r="N405" s="10"/>
      <c r="O405" s="10"/>
      <c r="P405" s="10"/>
    </row>
    <row r="406" spans="1:16" x14ac:dyDescent="0.25">
      <c r="A406" s="1"/>
      <c r="B406" s="10"/>
      <c r="C406" s="42"/>
      <c r="D406" s="43"/>
      <c r="E406" s="10"/>
      <c r="F406" s="42"/>
      <c r="G406" s="43"/>
      <c r="H406" s="10"/>
      <c r="I406" s="10"/>
      <c r="J406" s="42"/>
      <c r="K406" s="43"/>
      <c r="L406" s="43"/>
      <c r="M406" s="10"/>
      <c r="N406" s="10"/>
      <c r="O406" s="10"/>
      <c r="P406" s="10"/>
    </row>
    <row r="407" spans="1:16" x14ac:dyDescent="0.25">
      <c r="A407" s="1"/>
      <c r="B407" s="10"/>
      <c r="C407" s="42"/>
      <c r="D407" s="43"/>
      <c r="E407" s="10"/>
      <c r="F407" s="42"/>
      <c r="G407" s="43"/>
      <c r="H407" s="10"/>
      <c r="I407" s="10"/>
      <c r="J407" s="42"/>
      <c r="K407" s="43"/>
      <c r="L407" s="43"/>
      <c r="M407" s="10"/>
      <c r="N407" s="10"/>
      <c r="O407" s="10"/>
      <c r="P407" s="10"/>
    </row>
    <row r="408" spans="1:16" x14ac:dyDescent="0.25">
      <c r="A408" s="1"/>
      <c r="B408" s="10"/>
      <c r="C408" s="42"/>
      <c r="D408" s="43"/>
      <c r="E408" s="10"/>
      <c r="F408" s="42"/>
      <c r="G408" s="43"/>
      <c r="H408" s="10"/>
      <c r="I408" s="10"/>
      <c r="J408" s="42"/>
      <c r="K408" s="43"/>
      <c r="L408" s="43"/>
      <c r="M408" s="10"/>
      <c r="N408" s="10"/>
      <c r="O408" s="10"/>
      <c r="P408" s="10"/>
    </row>
    <row r="409" spans="1:16" x14ac:dyDescent="0.25">
      <c r="A409" s="1"/>
      <c r="B409" s="10"/>
      <c r="C409" s="42"/>
      <c r="D409" s="43"/>
      <c r="E409" s="10"/>
      <c r="F409" s="42"/>
      <c r="G409" s="43"/>
      <c r="H409" s="10"/>
      <c r="I409" s="10"/>
      <c r="J409" s="42"/>
      <c r="K409" s="43"/>
      <c r="L409" s="43"/>
      <c r="M409" s="10"/>
      <c r="N409" s="10"/>
      <c r="O409" s="10"/>
      <c r="P409" s="10"/>
    </row>
    <row r="410" spans="1:16" x14ac:dyDescent="0.25">
      <c r="A410" s="1"/>
      <c r="B410" s="10"/>
      <c r="C410" s="42"/>
      <c r="D410" s="43"/>
      <c r="E410" s="10"/>
      <c r="F410" s="42"/>
      <c r="G410" s="43"/>
      <c r="H410" s="10"/>
      <c r="I410" s="10"/>
      <c r="J410" s="42"/>
      <c r="K410" s="43"/>
      <c r="L410" s="43"/>
      <c r="M410" s="10"/>
      <c r="N410" s="10"/>
      <c r="O410" s="10"/>
      <c r="P410" s="10"/>
    </row>
    <row r="411" spans="1:16" x14ac:dyDescent="0.25">
      <c r="A411" s="1"/>
      <c r="B411" s="10"/>
      <c r="C411" s="42"/>
      <c r="D411" s="43"/>
      <c r="E411" s="10"/>
      <c r="F411" s="42"/>
      <c r="G411" s="43"/>
      <c r="H411" s="10"/>
      <c r="I411" s="10"/>
      <c r="J411" s="42"/>
      <c r="K411" s="43"/>
      <c r="L411" s="43"/>
      <c r="M411" s="10"/>
      <c r="N411" s="10"/>
      <c r="O411" s="10"/>
      <c r="P411" s="10"/>
    </row>
    <row r="412" spans="1:16" x14ac:dyDescent="0.25">
      <c r="A412" s="1"/>
      <c r="B412" s="10"/>
      <c r="C412" s="42"/>
      <c r="D412" s="43"/>
      <c r="E412" s="10"/>
      <c r="F412" s="42"/>
      <c r="G412" s="43"/>
      <c r="H412" s="10"/>
      <c r="I412" s="10"/>
      <c r="J412" s="42"/>
      <c r="K412" s="43"/>
      <c r="L412" s="43"/>
      <c r="M412" s="10"/>
      <c r="N412" s="10"/>
      <c r="O412" s="10"/>
      <c r="P412" s="10"/>
    </row>
    <row r="413" spans="1:16" x14ac:dyDescent="0.25">
      <c r="A413" s="1"/>
      <c r="B413" s="10"/>
      <c r="C413" s="42"/>
      <c r="D413" s="43"/>
      <c r="E413" s="10"/>
      <c r="F413" s="42"/>
      <c r="G413" s="43"/>
      <c r="H413" s="10"/>
      <c r="I413" s="10"/>
      <c r="J413" s="42"/>
      <c r="K413" s="43"/>
      <c r="L413" s="43"/>
      <c r="M413" s="10"/>
      <c r="N413" s="10"/>
      <c r="O413" s="10"/>
      <c r="P413" s="10"/>
    </row>
    <row r="414" spans="1:16" x14ac:dyDescent="0.25">
      <c r="A414" s="1"/>
      <c r="B414" s="10"/>
      <c r="C414" s="42"/>
      <c r="D414" s="43"/>
      <c r="E414" s="10"/>
      <c r="F414" s="42"/>
      <c r="G414" s="43"/>
      <c r="H414" s="10"/>
      <c r="I414" s="10"/>
      <c r="J414" s="42"/>
      <c r="K414" s="43"/>
      <c r="L414" s="43"/>
      <c r="M414" s="10"/>
      <c r="N414" s="10"/>
      <c r="O414" s="10"/>
      <c r="P414" s="10"/>
    </row>
    <row r="415" spans="1:16" x14ac:dyDescent="0.25">
      <c r="A415" s="1"/>
      <c r="B415" s="10"/>
      <c r="C415" s="42"/>
      <c r="D415" s="43"/>
      <c r="E415" s="10"/>
      <c r="F415" s="42"/>
      <c r="G415" s="43"/>
      <c r="H415" s="10"/>
      <c r="I415" s="10"/>
      <c r="J415" s="42"/>
      <c r="K415" s="43"/>
      <c r="L415" s="43"/>
      <c r="M415" s="10"/>
      <c r="N415" s="10"/>
      <c r="O415" s="10"/>
      <c r="P415" s="10"/>
    </row>
    <row r="416" spans="1:16" x14ac:dyDescent="0.25">
      <c r="A416" s="1"/>
      <c r="B416" s="10"/>
      <c r="C416" s="42"/>
      <c r="D416" s="43"/>
      <c r="E416" s="10"/>
      <c r="F416" s="42"/>
      <c r="G416" s="43"/>
      <c r="H416" s="10"/>
      <c r="I416" s="10"/>
      <c r="J416" s="42"/>
      <c r="K416" s="43"/>
      <c r="L416" s="43"/>
      <c r="M416" s="10"/>
      <c r="N416" s="10"/>
      <c r="O416" s="10"/>
      <c r="P416" s="10"/>
    </row>
    <row r="417" spans="1:16" x14ac:dyDescent="0.25">
      <c r="A417" s="1"/>
      <c r="B417" s="10"/>
      <c r="C417" s="42"/>
      <c r="D417" s="43"/>
      <c r="E417" s="10"/>
      <c r="F417" s="42"/>
      <c r="G417" s="43"/>
      <c r="H417" s="10"/>
      <c r="I417" s="10"/>
      <c r="J417" s="42"/>
      <c r="K417" s="43"/>
      <c r="L417" s="43"/>
      <c r="M417" s="10"/>
      <c r="N417" s="10"/>
      <c r="O417" s="10"/>
      <c r="P417" s="10"/>
    </row>
    <row r="418" spans="1:16" x14ac:dyDescent="0.25">
      <c r="A418" s="1"/>
      <c r="B418" s="10"/>
      <c r="C418" s="42"/>
      <c r="D418" s="43"/>
      <c r="E418" s="10"/>
      <c r="F418" s="42"/>
      <c r="G418" s="43"/>
      <c r="H418" s="10"/>
      <c r="I418" s="10"/>
      <c r="J418" s="42"/>
      <c r="K418" s="43"/>
      <c r="L418" s="43"/>
      <c r="M418" s="10"/>
      <c r="N418" s="10"/>
      <c r="O418" s="10"/>
      <c r="P418" s="10"/>
    </row>
    <row r="419" spans="1:16" x14ac:dyDescent="0.25">
      <c r="A419" s="1"/>
      <c r="B419" s="10"/>
      <c r="C419" s="42"/>
      <c r="D419" s="43"/>
      <c r="E419" s="10"/>
      <c r="F419" s="42"/>
      <c r="G419" s="43"/>
      <c r="H419" s="10"/>
      <c r="I419" s="10"/>
      <c r="J419" s="42"/>
      <c r="K419" s="43"/>
      <c r="L419" s="43"/>
      <c r="M419" s="10"/>
      <c r="N419" s="10"/>
      <c r="O419" s="10"/>
      <c r="P419" s="10"/>
    </row>
    <row r="420" spans="1:16" x14ac:dyDescent="0.25">
      <c r="A420" s="1"/>
      <c r="B420" s="10"/>
      <c r="C420" s="42"/>
      <c r="D420" s="43"/>
      <c r="E420" s="10"/>
      <c r="F420" s="42"/>
      <c r="G420" s="43"/>
      <c r="H420" s="10"/>
      <c r="I420" s="10"/>
      <c r="J420" s="42"/>
      <c r="K420" s="43"/>
      <c r="L420" s="43"/>
      <c r="M420" s="10"/>
      <c r="N420" s="10"/>
      <c r="O420" s="10"/>
      <c r="P420" s="10"/>
    </row>
    <row r="421" spans="1:16" x14ac:dyDescent="0.25">
      <c r="A421" s="1"/>
      <c r="B421" s="10"/>
      <c r="C421" s="42"/>
      <c r="D421" s="43"/>
      <c r="E421" s="10"/>
      <c r="F421" s="42"/>
      <c r="G421" s="43"/>
      <c r="H421" s="10"/>
      <c r="I421" s="10"/>
      <c r="J421" s="42"/>
      <c r="K421" s="43"/>
      <c r="L421" s="43"/>
      <c r="M421" s="10"/>
      <c r="N421" s="10"/>
      <c r="O421" s="10"/>
      <c r="P421" s="10"/>
    </row>
    <row r="422" spans="1:16" x14ac:dyDescent="0.25">
      <c r="A422" s="1"/>
      <c r="B422" s="10"/>
      <c r="C422" s="42"/>
      <c r="D422" s="43"/>
      <c r="E422" s="10"/>
      <c r="F422" s="42"/>
      <c r="G422" s="43"/>
      <c r="H422" s="10"/>
      <c r="I422" s="10"/>
      <c r="J422" s="42"/>
      <c r="K422" s="43"/>
      <c r="L422" s="43"/>
      <c r="M422" s="10"/>
      <c r="N422" s="10"/>
      <c r="O422" s="10"/>
      <c r="P422" s="10"/>
    </row>
    <row r="423" spans="1:16" x14ac:dyDescent="0.25">
      <c r="A423" s="1"/>
      <c r="B423" s="10"/>
      <c r="C423" s="42"/>
      <c r="D423" s="43"/>
      <c r="E423" s="10"/>
      <c r="F423" s="42"/>
      <c r="G423" s="43"/>
      <c r="H423" s="10"/>
      <c r="I423" s="10"/>
      <c r="J423" s="42"/>
      <c r="K423" s="43"/>
      <c r="L423" s="43"/>
      <c r="M423" s="10"/>
      <c r="N423" s="10"/>
      <c r="O423" s="10"/>
      <c r="P423" s="10"/>
    </row>
    <row r="424" spans="1:16" x14ac:dyDescent="0.25">
      <c r="A424" s="1"/>
      <c r="B424" s="10"/>
      <c r="C424" s="42"/>
      <c r="D424" s="43"/>
      <c r="E424" s="10"/>
      <c r="F424" s="42"/>
      <c r="G424" s="43"/>
      <c r="H424" s="10"/>
      <c r="I424" s="10"/>
      <c r="J424" s="42"/>
      <c r="K424" s="43"/>
      <c r="L424" s="43"/>
      <c r="M424" s="10"/>
      <c r="N424" s="10"/>
      <c r="O424" s="10"/>
      <c r="P424" s="10"/>
    </row>
    <row r="425" spans="1:16" x14ac:dyDescent="0.25">
      <c r="A425" s="1"/>
      <c r="B425" s="10"/>
      <c r="C425" s="42"/>
      <c r="D425" s="43"/>
      <c r="E425" s="10"/>
      <c r="F425" s="42"/>
      <c r="G425" s="43"/>
      <c r="H425" s="10"/>
      <c r="I425" s="10"/>
      <c r="J425" s="42"/>
      <c r="K425" s="43"/>
      <c r="L425" s="43"/>
      <c r="M425" s="10"/>
      <c r="N425" s="10"/>
      <c r="O425" s="10"/>
      <c r="P425" s="10"/>
    </row>
    <row r="426" spans="1:16" x14ac:dyDescent="0.25">
      <c r="A426" s="1"/>
      <c r="B426" s="10"/>
      <c r="C426" s="42"/>
      <c r="D426" s="43"/>
      <c r="E426" s="10"/>
      <c r="F426" s="42"/>
      <c r="G426" s="43"/>
      <c r="H426" s="10"/>
      <c r="I426" s="10"/>
      <c r="J426" s="42"/>
      <c r="K426" s="43"/>
      <c r="L426" s="43"/>
      <c r="M426" s="10"/>
      <c r="N426" s="10"/>
      <c r="O426" s="10"/>
      <c r="P426" s="10"/>
    </row>
    <row r="427" spans="1:16" x14ac:dyDescent="0.25">
      <c r="A427" s="1"/>
      <c r="B427" s="10"/>
      <c r="C427" s="42"/>
      <c r="D427" s="43"/>
      <c r="E427" s="10"/>
      <c r="F427" s="42"/>
      <c r="G427" s="43"/>
      <c r="H427" s="10"/>
      <c r="I427" s="10"/>
      <c r="J427" s="42"/>
      <c r="K427" s="43"/>
      <c r="L427" s="43"/>
      <c r="M427" s="10"/>
      <c r="N427" s="10"/>
      <c r="O427" s="10"/>
      <c r="P427" s="10"/>
    </row>
    <row r="428" spans="1:16" x14ac:dyDescent="0.25">
      <c r="A428" s="1"/>
      <c r="B428" s="10"/>
      <c r="C428" s="42"/>
      <c r="D428" s="43"/>
      <c r="E428" s="10"/>
      <c r="F428" s="42"/>
      <c r="G428" s="43"/>
      <c r="H428" s="10"/>
      <c r="I428" s="10"/>
      <c r="J428" s="42"/>
      <c r="K428" s="43"/>
      <c r="L428" s="43"/>
      <c r="M428" s="10"/>
      <c r="N428" s="10"/>
      <c r="O428" s="10"/>
      <c r="P428" s="10"/>
    </row>
    <row r="429" spans="1:16" x14ac:dyDescent="0.25">
      <c r="A429" s="1"/>
      <c r="B429" s="10"/>
      <c r="C429" s="42"/>
      <c r="D429" s="43"/>
      <c r="E429" s="10"/>
      <c r="F429" s="42"/>
      <c r="G429" s="43"/>
      <c r="H429" s="10"/>
      <c r="I429" s="10"/>
      <c r="J429" s="42"/>
      <c r="K429" s="43"/>
      <c r="L429" s="43"/>
      <c r="M429" s="10"/>
      <c r="N429" s="10"/>
      <c r="O429" s="10"/>
      <c r="P429" s="10"/>
    </row>
    <row r="430" spans="1:16" x14ac:dyDescent="0.25">
      <c r="A430" s="1"/>
      <c r="B430" s="10"/>
      <c r="C430" s="42"/>
      <c r="D430" s="43"/>
      <c r="E430" s="10"/>
      <c r="F430" s="42"/>
      <c r="G430" s="43"/>
      <c r="H430" s="10"/>
      <c r="I430" s="10"/>
      <c r="J430" s="42"/>
      <c r="K430" s="43"/>
      <c r="L430" s="43"/>
      <c r="M430" s="10"/>
      <c r="N430" s="10"/>
      <c r="O430" s="10"/>
      <c r="P430" s="10"/>
    </row>
    <row r="431" spans="1:16" x14ac:dyDescent="0.25">
      <c r="A431" s="1"/>
      <c r="B431" s="10"/>
      <c r="C431" s="42"/>
      <c r="D431" s="43"/>
      <c r="E431" s="10"/>
      <c r="F431" s="42"/>
      <c r="G431" s="43"/>
      <c r="H431" s="10"/>
      <c r="I431" s="10"/>
      <c r="J431" s="42"/>
      <c r="K431" s="43"/>
      <c r="L431" s="43"/>
      <c r="M431" s="10"/>
      <c r="N431" s="10"/>
      <c r="O431" s="10"/>
      <c r="P431" s="10"/>
    </row>
    <row r="432" spans="1:16" x14ac:dyDescent="0.25">
      <c r="A432" s="1"/>
      <c r="B432" s="10"/>
      <c r="C432" s="42"/>
      <c r="D432" s="43"/>
      <c r="E432" s="10"/>
      <c r="F432" s="42"/>
      <c r="G432" s="43"/>
      <c r="H432" s="10"/>
      <c r="I432" s="10"/>
      <c r="J432" s="42"/>
      <c r="K432" s="43"/>
      <c r="L432" s="43"/>
      <c r="M432" s="10"/>
      <c r="N432" s="10"/>
      <c r="O432" s="10"/>
      <c r="P432" s="10"/>
    </row>
    <row r="433" spans="1:16" x14ac:dyDescent="0.25">
      <c r="A433" s="1"/>
      <c r="B433" s="10"/>
      <c r="C433" s="42"/>
      <c r="D433" s="43"/>
      <c r="E433" s="10"/>
      <c r="F433" s="42"/>
      <c r="G433" s="43"/>
      <c r="H433" s="10"/>
      <c r="I433" s="10"/>
      <c r="J433" s="42"/>
      <c r="K433" s="43"/>
      <c r="L433" s="43"/>
      <c r="M433" s="10"/>
      <c r="N433" s="10"/>
      <c r="O433" s="10"/>
      <c r="P433" s="10"/>
    </row>
    <row r="434" spans="1:16" x14ac:dyDescent="0.25">
      <c r="A434" s="1"/>
      <c r="B434" s="10"/>
      <c r="C434" s="42"/>
      <c r="D434" s="43"/>
      <c r="E434" s="10"/>
      <c r="F434" s="42"/>
      <c r="G434" s="43"/>
      <c r="H434" s="10"/>
      <c r="I434" s="10"/>
      <c r="J434" s="42"/>
      <c r="K434" s="43"/>
      <c r="L434" s="43"/>
      <c r="M434" s="10"/>
      <c r="N434" s="10"/>
      <c r="O434" s="10"/>
      <c r="P434" s="10"/>
    </row>
    <row r="435" spans="1:16" x14ac:dyDescent="0.25">
      <c r="A435" s="1"/>
      <c r="B435" s="10"/>
      <c r="C435" s="42"/>
      <c r="D435" s="43"/>
      <c r="E435" s="10"/>
      <c r="F435" s="42"/>
      <c r="G435" s="43"/>
      <c r="H435" s="10"/>
      <c r="I435" s="10"/>
      <c r="J435" s="42"/>
      <c r="K435" s="43"/>
      <c r="L435" s="43"/>
      <c r="M435" s="10"/>
      <c r="N435" s="10"/>
      <c r="O435" s="10"/>
      <c r="P435" s="10"/>
    </row>
    <row r="436" spans="1:16" x14ac:dyDescent="0.25">
      <c r="A436" s="1"/>
      <c r="B436" s="10"/>
      <c r="C436" s="42"/>
      <c r="D436" s="43"/>
      <c r="E436" s="10"/>
      <c r="F436" s="42"/>
      <c r="G436" s="43"/>
      <c r="H436" s="10"/>
      <c r="I436" s="10"/>
      <c r="J436" s="42"/>
      <c r="K436" s="43"/>
      <c r="L436" s="43"/>
      <c r="M436" s="10"/>
      <c r="N436" s="10"/>
      <c r="O436" s="10"/>
      <c r="P436" s="10"/>
    </row>
    <row r="437" spans="1:16" x14ac:dyDescent="0.25">
      <c r="A437" s="1"/>
      <c r="B437" s="10"/>
      <c r="C437" s="42"/>
      <c r="D437" s="43"/>
      <c r="E437" s="10"/>
      <c r="F437" s="42"/>
      <c r="G437" s="43"/>
      <c r="H437" s="10"/>
      <c r="I437" s="10"/>
      <c r="J437" s="42"/>
      <c r="K437" s="43"/>
      <c r="L437" s="43"/>
      <c r="M437" s="10"/>
      <c r="N437" s="10"/>
      <c r="O437" s="10"/>
      <c r="P437" s="10"/>
    </row>
    <row r="438" spans="1:16" x14ac:dyDescent="0.25">
      <c r="A438" s="1"/>
      <c r="B438" s="10"/>
      <c r="C438" s="42"/>
      <c r="D438" s="43"/>
      <c r="E438" s="10"/>
      <c r="F438" s="42"/>
      <c r="G438" s="43"/>
      <c r="H438" s="10"/>
      <c r="I438" s="10"/>
      <c r="J438" s="42"/>
      <c r="K438" s="43"/>
      <c r="L438" s="43"/>
      <c r="M438" s="10"/>
      <c r="N438" s="10"/>
      <c r="O438" s="10"/>
      <c r="P438" s="10"/>
    </row>
    <row r="439" spans="1:16" x14ac:dyDescent="0.25">
      <c r="A439" s="1"/>
      <c r="B439" s="10"/>
      <c r="C439" s="42"/>
      <c r="D439" s="43"/>
      <c r="E439" s="10"/>
      <c r="F439" s="42"/>
      <c r="G439" s="43"/>
      <c r="H439" s="10"/>
      <c r="I439" s="10"/>
      <c r="J439" s="42"/>
      <c r="K439" s="43"/>
      <c r="L439" s="43"/>
      <c r="M439" s="10"/>
      <c r="N439" s="10"/>
      <c r="O439" s="10"/>
      <c r="P439" s="10"/>
    </row>
    <row r="440" spans="1:16" x14ac:dyDescent="0.25">
      <c r="A440" s="1"/>
      <c r="B440" s="10"/>
      <c r="C440" s="42"/>
      <c r="D440" s="43"/>
      <c r="E440" s="10"/>
      <c r="F440" s="42"/>
      <c r="G440" s="43"/>
      <c r="H440" s="10"/>
      <c r="I440" s="10"/>
      <c r="J440" s="42"/>
      <c r="K440" s="43"/>
      <c r="L440" s="43"/>
      <c r="M440" s="10"/>
      <c r="N440" s="10"/>
      <c r="O440" s="10"/>
      <c r="P440" s="10"/>
    </row>
    <row r="441" spans="1:16" x14ac:dyDescent="0.25">
      <c r="A441" s="1"/>
      <c r="B441" s="10"/>
      <c r="C441" s="42"/>
      <c r="D441" s="43"/>
      <c r="E441" s="10"/>
      <c r="F441" s="42"/>
      <c r="G441" s="43"/>
      <c r="H441" s="10"/>
      <c r="I441" s="10"/>
      <c r="J441" s="42"/>
      <c r="K441" s="43"/>
      <c r="L441" s="43"/>
      <c r="M441" s="10"/>
      <c r="N441" s="10"/>
      <c r="O441" s="10"/>
      <c r="P441" s="10"/>
    </row>
    <row r="442" spans="1:16" x14ac:dyDescent="0.25">
      <c r="A442" s="1"/>
      <c r="B442" s="10"/>
      <c r="C442" s="42"/>
      <c r="D442" s="43"/>
      <c r="E442" s="10"/>
      <c r="F442" s="42"/>
      <c r="G442" s="43"/>
      <c r="H442" s="10"/>
      <c r="I442" s="10"/>
      <c r="J442" s="42"/>
      <c r="K442" s="43"/>
      <c r="L442" s="43"/>
      <c r="M442" s="10"/>
      <c r="N442" s="10"/>
      <c r="O442" s="10"/>
      <c r="P442" s="10"/>
    </row>
    <row r="443" spans="1:16" x14ac:dyDescent="0.25">
      <c r="A443" s="1"/>
      <c r="B443" s="10"/>
      <c r="C443" s="42"/>
      <c r="D443" s="43"/>
      <c r="E443" s="10"/>
      <c r="F443" s="42"/>
      <c r="G443" s="43"/>
      <c r="H443" s="10"/>
      <c r="I443" s="10"/>
      <c r="J443" s="42"/>
      <c r="K443" s="43"/>
      <c r="L443" s="43"/>
      <c r="M443" s="10"/>
      <c r="N443" s="10"/>
      <c r="O443" s="10"/>
      <c r="P443" s="10"/>
    </row>
    <row r="444" spans="1:16" x14ac:dyDescent="0.25">
      <c r="A444" s="1"/>
      <c r="B444" s="10"/>
      <c r="C444" s="42"/>
      <c r="D444" s="43"/>
      <c r="E444" s="10"/>
      <c r="F444" s="42"/>
      <c r="G444" s="43"/>
      <c r="H444" s="10"/>
      <c r="I444" s="10"/>
      <c r="J444" s="42"/>
      <c r="K444" s="43"/>
      <c r="L444" s="43"/>
      <c r="M444" s="10"/>
      <c r="N444" s="10"/>
      <c r="O444" s="10"/>
      <c r="P444" s="10"/>
    </row>
    <row r="445" spans="1:16" x14ac:dyDescent="0.25">
      <c r="A445" s="1"/>
      <c r="B445" s="10"/>
      <c r="C445" s="42"/>
      <c r="D445" s="43"/>
      <c r="E445" s="10"/>
      <c r="F445" s="42"/>
      <c r="G445" s="43"/>
      <c r="H445" s="10"/>
      <c r="I445" s="10"/>
      <c r="J445" s="42"/>
      <c r="K445" s="43"/>
      <c r="L445" s="43"/>
      <c r="M445" s="10"/>
      <c r="N445" s="10"/>
      <c r="O445" s="10"/>
      <c r="P445" s="10"/>
    </row>
    <row r="446" spans="1:16" x14ac:dyDescent="0.25">
      <c r="A446" s="1"/>
      <c r="B446" s="10"/>
      <c r="C446" s="42"/>
      <c r="D446" s="43"/>
      <c r="E446" s="10"/>
      <c r="F446" s="42"/>
      <c r="G446" s="43"/>
      <c r="H446" s="10"/>
      <c r="I446" s="10"/>
      <c r="J446" s="42"/>
      <c r="K446" s="43"/>
      <c r="L446" s="43"/>
      <c r="M446" s="10"/>
      <c r="N446" s="10"/>
      <c r="O446" s="10"/>
      <c r="P446" s="10"/>
    </row>
    <row r="447" spans="1:16" x14ac:dyDescent="0.25">
      <c r="A447" s="1"/>
      <c r="B447" s="10"/>
      <c r="C447" s="42"/>
      <c r="D447" s="43"/>
      <c r="E447" s="10"/>
      <c r="F447" s="42"/>
      <c r="G447" s="43"/>
      <c r="H447" s="10"/>
      <c r="I447" s="10"/>
      <c r="J447" s="42"/>
      <c r="K447" s="43"/>
      <c r="L447" s="43"/>
      <c r="M447" s="10"/>
      <c r="N447" s="10"/>
      <c r="O447" s="10"/>
      <c r="P447" s="10"/>
    </row>
    <row r="448" spans="1:16" x14ac:dyDescent="0.25">
      <c r="A448" s="1"/>
      <c r="B448" s="10"/>
      <c r="C448" s="42"/>
      <c r="D448" s="43"/>
      <c r="E448" s="10"/>
      <c r="F448" s="42"/>
      <c r="G448" s="43"/>
      <c r="H448" s="10"/>
      <c r="I448" s="10"/>
      <c r="J448" s="42"/>
      <c r="K448" s="43"/>
      <c r="L448" s="43"/>
      <c r="M448" s="10"/>
      <c r="N448" s="10"/>
      <c r="O448" s="10"/>
      <c r="P448" s="10"/>
    </row>
    <row r="449" spans="1:16" x14ac:dyDescent="0.25">
      <c r="A449" s="1"/>
      <c r="B449" s="10"/>
      <c r="C449" s="42"/>
      <c r="D449" s="43"/>
      <c r="E449" s="10"/>
      <c r="F449" s="42"/>
      <c r="G449" s="43"/>
      <c r="H449" s="10"/>
      <c r="I449" s="10"/>
      <c r="J449" s="42"/>
      <c r="K449" s="43"/>
      <c r="L449" s="43"/>
      <c r="M449" s="10"/>
      <c r="N449" s="10"/>
      <c r="O449" s="10"/>
      <c r="P449" s="10"/>
    </row>
    <row r="450" spans="1:16" x14ac:dyDescent="0.25">
      <c r="A450" s="1"/>
      <c r="B450" s="10"/>
      <c r="C450" s="42"/>
      <c r="D450" s="43"/>
      <c r="E450" s="10"/>
      <c r="F450" s="42"/>
      <c r="G450" s="43"/>
      <c r="H450" s="10"/>
      <c r="I450" s="10"/>
      <c r="J450" s="42"/>
      <c r="K450" s="43"/>
      <c r="L450" s="43"/>
      <c r="M450" s="10"/>
      <c r="N450" s="10"/>
      <c r="O450" s="10"/>
      <c r="P450" s="10"/>
    </row>
    <row r="451" spans="1:16" x14ac:dyDescent="0.25">
      <c r="A451" s="1"/>
      <c r="B451" s="10"/>
      <c r="C451" s="42"/>
      <c r="D451" s="43"/>
      <c r="E451" s="10"/>
      <c r="F451" s="42"/>
      <c r="G451" s="43"/>
      <c r="H451" s="10"/>
      <c r="I451" s="10"/>
      <c r="J451" s="42"/>
      <c r="K451" s="43"/>
      <c r="L451" s="43"/>
      <c r="M451" s="10"/>
      <c r="N451" s="10"/>
      <c r="O451" s="10"/>
      <c r="P451" s="10"/>
    </row>
    <row r="452" spans="1:16" x14ac:dyDescent="0.25">
      <c r="A452" s="1"/>
      <c r="B452" s="10"/>
      <c r="C452" s="42"/>
      <c r="D452" s="43"/>
      <c r="E452" s="10"/>
      <c r="F452" s="42"/>
      <c r="G452" s="43"/>
      <c r="H452" s="10"/>
      <c r="I452" s="10"/>
      <c r="J452" s="42"/>
      <c r="K452" s="43"/>
      <c r="L452" s="43"/>
      <c r="M452" s="10"/>
      <c r="N452" s="10"/>
      <c r="O452" s="10"/>
      <c r="P452" s="10"/>
    </row>
    <row r="453" spans="1:16" x14ac:dyDescent="0.25">
      <c r="A453" s="1"/>
      <c r="B453" s="10"/>
      <c r="C453" s="42"/>
      <c r="D453" s="43"/>
      <c r="E453" s="10"/>
      <c r="F453" s="42"/>
      <c r="G453" s="43"/>
      <c r="H453" s="10"/>
      <c r="I453" s="10"/>
      <c r="J453" s="42"/>
      <c r="K453" s="43"/>
      <c r="L453" s="43"/>
      <c r="M453" s="10"/>
      <c r="N453" s="10"/>
      <c r="O453" s="10"/>
      <c r="P453" s="10"/>
    </row>
    <row r="454" spans="1:16" x14ac:dyDescent="0.25">
      <c r="A454" s="1"/>
      <c r="B454" s="10"/>
      <c r="C454" s="42"/>
      <c r="D454" s="43"/>
      <c r="E454" s="10"/>
      <c r="F454" s="42"/>
      <c r="G454" s="43"/>
      <c r="H454" s="10"/>
      <c r="I454" s="10"/>
      <c r="J454" s="42"/>
      <c r="K454" s="43"/>
      <c r="L454" s="43"/>
      <c r="M454" s="10"/>
      <c r="N454" s="10"/>
      <c r="O454" s="10"/>
      <c r="P454" s="10"/>
    </row>
    <row r="455" spans="1:16" x14ac:dyDescent="0.25">
      <c r="A455" s="1"/>
      <c r="B455" s="10"/>
      <c r="C455" s="42"/>
      <c r="D455" s="43"/>
      <c r="E455" s="10"/>
      <c r="F455" s="42"/>
      <c r="G455" s="43"/>
      <c r="H455" s="10"/>
      <c r="I455" s="10"/>
      <c r="J455" s="42"/>
      <c r="K455" s="43"/>
      <c r="L455" s="43"/>
      <c r="M455" s="10"/>
      <c r="N455" s="10"/>
      <c r="O455" s="10"/>
      <c r="P455" s="10"/>
    </row>
    <row r="456" spans="1:16" x14ac:dyDescent="0.25">
      <c r="A456" s="1"/>
      <c r="B456" s="10"/>
      <c r="C456" s="42"/>
      <c r="D456" s="43"/>
      <c r="E456" s="10"/>
      <c r="F456" s="42"/>
      <c r="G456" s="43"/>
      <c r="H456" s="10"/>
      <c r="I456" s="10"/>
      <c r="J456" s="42"/>
      <c r="K456" s="43"/>
      <c r="L456" s="43"/>
      <c r="M456" s="10"/>
      <c r="N456" s="10"/>
      <c r="O456" s="10"/>
      <c r="P456" s="10"/>
    </row>
    <row r="457" spans="1:16" x14ac:dyDescent="0.25">
      <c r="A457" s="1"/>
      <c r="B457" s="10"/>
      <c r="C457" s="42"/>
      <c r="D457" s="43"/>
      <c r="E457" s="10"/>
      <c r="F457" s="42"/>
      <c r="G457" s="43"/>
      <c r="H457" s="10"/>
      <c r="I457" s="10"/>
      <c r="J457" s="42"/>
      <c r="K457" s="43"/>
      <c r="L457" s="43"/>
      <c r="M457" s="10"/>
      <c r="N457" s="10"/>
      <c r="O457" s="10"/>
      <c r="P457" s="10"/>
    </row>
    <row r="458" spans="1:16" x14ac:dyDescent="0.25">
      <c r="A458" s="1"/>
      <c r="B458" s="10"/>
      <c r="C458" s="42"/>
      <c r="D458" s="43"/>
      <c r="E458" s="10"/>
      <c r="F458" s="42"/>
      <c r="G458" s="43"/>
      <c r="H458" s="10"/>
      <c r="I458" s="10"/>
      <c r="J458" s="42"/>
      <c r="K458" s="43"/>
      <c r="L458" s="43"/>
      <c r="M458" s="10"/>
      <c r="N458" s="10"/>
      <c r="O458" s="10"/>
      <c r="P458" s="10"/>
    </row>
    <row r="459" spans="1:16" x14ac:dyDescent="0.25">
      <c r="A459" s="1"/>
      <c r="B459" s="10"/>
      <c r="C459" s="42"/>
      <c r="D459" s="43"/>
      <c r="E459" s="10"/>
      <c r="F459" s="42"/>
      <c r="G459" s="43"/>
      <c r="H459" s="10"/>
      <c r="I459" s="10"/>
      <c r="J459" s="42"/>
      <c r="K459" s="43"/>
      <c r="L459" s="43"/>
      <c r="M459" s="10"/>
      <c r="N459" s="10"/>
      <c r="O459" s="10"/>
      <c r="P459" s="10"/>
    </row>
    <row r="460" spans="1:16" x14ac:dyDescent="0.25">
      <c r="A460" s="1"/>
      <c r="B460" s="10"/>
      <c r="C460" s="42"/>
      <c r="D460" s="43"/>
      <c r="E460" s="10"/>
      <c r="F460" s="42"/>
      <c r="G460" s="43"/>
      <c r="H460" s="10"/>
      <c r="I460" s="10"/>
      <c r="J460" s="42"/>
      <c r="K460" s="43"/>
      <c r="L460" s="43"/>
      <c r="M460" s="10"/>
      <c r="N460" s="10"/>
      <c r="O460" s="10"/>
      <c r="P460" s="10"/>
    </row>
    <row r="461" spans="1:16" x14ac:dyDescent="0.25">
      <c r="A461" s="1"/>
      <c r="B461" s="10"/>
      <c r="C461" s="42"/>
      <c r="D461" s="43"/>
      <c r="E461" s="10"/>
      <c r="F461" s="42"/>
      <c r="G461" s="43"/>
      <c r="H461" s="10"/>
      <c r="I461" s="10"/>
      <c r="J461" s="42"/>
      <c r="K461" s="43"/>
      <c r="L461" s="43"/>
      <c r="M461" s="10"/>
      <c r="N461" s="10"/>
      <c r="O461" s="10"/>
      <c r="P461" s="10"/>
    </row>
    <row r="462" spans="1:16" x14ac:dyDescent="0.25">
      <c r="A462" s="1"/>
      <c r="B462" s="10"/>
      <c r="C462" s="42"/>
      <c r="D462" s="43"/>
      <c r="E462" s="10"/>
      <c r="F462" s="42"/>
      <c r="G462" s="43"/>
      <c r="H462" s="10"/>
      <c r="I462" s="10"/>
      <c r="J462" s="42"/>
      <c r="K462" s="43"/>
      <c r="L462" s="43"/>
      <c r="M462" s="10"/>
      <c r="N462" s="10"/>
      <c r="O462" s="10"/>
      <c r="P462" s="10"/>
    </row>
    <row r="463" spans="1:16" x14ac:dyDescent="0.25">
      <c r="A463" s="1"/>
      <c r="B463" s="10"/>
      <c r="C463" s="42"/>
      <c r="D463" s="43"/>
      <c r="E463" s="10"/>
      <c r="F463" s="42"/>
      <c r="G463" s="43"/>
      <c r="H463" s="10"/>
      <c r="I463" s="10"/>
      <c r="J463" s="42"/>
      <c r="K463" s="43"/>
      <c r="L463" s="43"/>
      <c r="M463" s="10"/>
      <c r="N463" s="10"/>
      <c r="O463" s="10"/>
      <c r="P463" s="10"/>
    </row>
    <row r="464" spans="1:16" x14ac:dyDescent="0.25">
      <c r="A464" s="1"/>
      <c r="B464" s="10"/>
      <c r="C464" s="42"/>
      <c r="D464" s="43"/>
      <c r="E464" s="10"/>
      <c r="F464" s="42"/>
      <c r="G464" s="43"/>
      <c r="H464" s="10"/>
      <c r="I464" s="10"/>
      <c r="J464" s="42"/>
      <c r="K464" s="43"/>
      <c r="L464" s="43"/>
      <c r="M464" s="10"/>
      <c r="N464" s="10"/>
      <c r="O464" s="10"/>
      <c r="P464" s="10"/>
    </row>
    <row r="465" spans="1:16" x14ac:dyDescent="0.25">
      <c r="A465" s="1"/>
      <c r="B465" s="10"/>
      <c r="C465" s="42"/>
      <c r="D465" s="43"/>
      <c r="E465" s="10"/>
      <c r="F465" s="42"/>
      <c r="G465" s="43"/>
      <c r="H465" s="10"/>
      <c r="I465" s="10"/>
      <c r="J465" s="42"/>
      <c r="K465" s="43"/>
      <c r="L465" s="43"/>
      <c r="M465" s="10"/>
      <c r="N465" s="10"/>
      <c r="O465" s="10"/>
      <c r="P465" s="10"/>
    </row>
    <row r="466" spans="1:16" x14ac:dyDescent="0.25">
      <c r="A466" s="1"/>
      <c r="B466" s="10"/>
      <c r="C466" s="42"/>
      <c r="D466" s="43"/>
      <c r="E466" s="10"/>
      <c r="F466" s="42"/>
      <c r="G466" s="43"/>
      <c r="H466" s="10"/>
      <c r="I466" s="10"/>
      <c r="J466" s="42"/>
      <c r="K466" s="43"/>
      <c r="L466" s="43"/>
      <c r="M466" s="10"/>
      <c r="N466" s="10"/>
      <c r="O466" s="10"/>
      <c r="P466" s="10"/>
    </row>
    <row r="467" spans="1:16" x14ac:dyDescent="0.25">
      <c r="A467" s="1"/>
      <c r="B467" s="10"/>
      <c r="C467" s="42"/>
      <c r="D467" s="43"/>
      <c r="E467" s="10"/>
      <c r="F467" s="42"/>
      <c r="G467" s="43"/>
      <c r="H467" s="10"/>
      <c r="I467" s="10"/>
      <c r="J467" s="42"/>
      <c r="K467" s="43"/>
      <c r="L467" s="43"/>
      <c r="M467" s="10"/>
      <c r="N467" s="10"/>
      <c r="O467" s="10"/>
      <c r="P467" s="10"/>
    </row>
    <row r="468" spans="1:16" x14ac:dyDescent="0.25">
      <c r="A468" s="1"/>
      <c r="B468" s="10"/>
      <c r="C468" s="42"/>
      <c r="D468" s="43"/>
      <c r="E468" s="10"/>
      <c r="F468" s="42"/>
      <c r="G468" s="43"/>
      <c r="H468" s="10"/>
      <c r="I468" s="10"/>
      <c r="J468" s="42"/>
      <c r="K468" s="43"/>
      <c r="L468" s="43"/>
      <c r="M468" s="10"/>
      <c r="N468" s="10"/>
      <c r="O468" s="10"/>
      <c r="P468" s="10"/>
    </row>
    <row r="469" spans="1:16" x14ac:dyDescent="0.25">
      <c r="A469" s="1"/>
      <c r="B469" s="10"/>
      <c r="C469" s="42"/>
      <c r="D469" s="43"/>
      <c r="E469" s="10"/>
      <c r="F469" s="42"/>
      <c r="G469" s="43"/>
      <c r="H469" s="10"/>
      <c r="I469" s="10"/>
      <c r="J469" s="42"/>
      <c r="K469" s="43"/>
      <c r="L469" s="43"/>
      <c r="M469" s="10"/>
      <c r="N469" s="10"/>
      <c r="O469" s="10"/>
      <c r="P469" s="10"/>
    </row>
    <row r="470" spans="1:16" x14ac:dyDescent="0.25">
      <c r="A470" s="1"/>
      <c r="B470" s="10"/>
      <c r="C470" s="42"/>
      <c r="D470" s="43"/>
      <c r="E470" s="10"/>
      <c r="F470" s="42"/>
      <c r="G470" s="43"/>
      <c r="H470" s="10"/>
      <c r="I470" s="10"/>
      <c r="J470" s="42"/>
      <c r="K470" s="43"/>
      <c r="L470" s="43"/>
      <c r="M470" s="10"/>
      <c r="N470" s="10"/>
      <c r="O470" s="10"/>
      <c r="P470" s="10"/>
    </row>
    <row r="471" spans="1:16" x14ac:dyDescent="0.25">
      <c r="A471" s="1"/>
      <c r="B471" s="10"/>
      <c r="C471" s="42"/>
      <c r="D471" s="43"/>
      <c r="E471" s="10"/>
      <c r="F471" s="42"/>
      <c r="G471" s="43"/>
      <c r="H471" s="10"/>
      <c r="I471" s="10"/>
      <c r="J471" s="42"/>
      <c r="K471" s="43"/>
      <c r="L471" s="43"/>
      <c r="M471" s="10"/>
      <c r="N471" s="10"/>
      <c r="O471" s="10"/>
      <c r="P471" s="10"/>
    </row>
    <row r="472" spans="1:16" x14ac:dyDescent="0.25">
      <c r="A472" s="1"/>
      <c r="B472" s="10"/>
      <c r="C472" s="42"/>
      <c r="D472" s="43"/>
      <c r="E472" s="10"/>
      <c r="F472" s="42"/>
      <c r="G472" s="43"/>
      <c r="H472" s="10"/>
      <c r="I472" s="10"/>
      <c r="J472" s="42"/>
      <c r="K472" s="43"/>
      <c r="L472" s="43"/>
      <c r="M472" s="10"/>
      <c r="N472" s="10"/>
      <c r="O472" s="10"/>
      <c r="P472" s="10"/>
    </row>
    <row r="473" spans="1:16" x14ac:dyDescent="0.25">
      <c r="A473" s="1"/>
      <c r="B473" s="10"/>
      <c r="C473" s="42"/>
      <c r="D473" s="43"/>
      <c r="E473" s="10"/>
      <c r="F473" s="42"/>
      <c r="G473" s="43"/>
      <c r="H473" s="10"/>
      <c r="I473" s="10"/>
      <c r="J473" s="42"/>
      <c r="K473" s="43"/>
      <c r="L473" s="43"/>
      <c r="M473" s="10"/>
      <c r="N473" s="10"/>
      <c r="O473" s="10"/>
      <c r="P473" s="10"/>
    </row>
    <row r="474" spans="1:16" x14ac:dyDescent="0.25">
      <c r="A474" s="1"/>
      <c r="B474" s="10"/>
      <c r="C474" s="42"/>
      <c r="D474" s="43"/>
      <c r="E474" s="10"/>
      <c r="F474" s="42"/>
      <c r="G474" s="43"/>
      <c r="H474" s="10"/>
      <c r="I474" s="10"/>
      <c r="J474" s="42"/>
      <c r="K474" s="43"/>
      <c r="L474" s="43"/>
      <c r="M474" s="10"/>
      <c r="N474" s="10"/>
      <c r="O474" s="10"/>
      <c r="P474" s="10"/>
    </row>
    <row r="475" spans="1:16" x14ac:dyDescent="0.25">
      <c r="A475" s="1"/>
      <c r="B475" s="10"/>
      <c r="C475" s="42"/>
      <c r="D475" s="43"/>
      <c r="E475" s="10"/>
      <c r="F475" s="42"/>
      <c r="G475" s="43"/>
      <c r="H475" s="10"/>
      <c r="I475" s="10"/>
      <c r="J475" s="42"/>
      <c r="K475" s="43"/>
      <c r="L475" s="43"/>
      <c r="M475" s="10"/>
      <c r="N475" s="10"/>
      <c r="O475" s="10"/>
      <c r="P475" s="10"/>
    </row>
    <row r="476" spans="1:16" x14ac:dyDescent="0.25">
      <c r="A476" s="1"/>
      <c r="B476" s="10"/>
      <c r="C476" s="42"/>
      <c r="D476" s="43"/>
      <c r="E476" s="10"/>
      <c r="F476" s="42"/>
      <c r="G476" s="43"/>
      <c r="H476" s="10"/>
      <c r="I476" s="10"/>
      <c r="J476" s="42"/>
      <c r="K476" s="43"/>
      <c r="L476" s="43"/>
      <c r="M476" s="10"/>
      <c r="N476" s="10"/>
      <c r="O476" s="10"/>
      <c r="P476" s="10"/>
    </row>
    <row r="477" spans="1:16" x14ac:dyDescent="0.25">
      <c r="A477" s="1"/>
      <c r="B477" s="10"/>
      <c r="C477" s="42"/>
      <c r="D477" s="43"/>
      <c r="E477" s="10"/>
      <c r="F477" s="42"/>
      <c r="G477" s="43"/>
      <c r="H477" s="10"/>
      <c r="I477" s="10"/>
      <c r="J477" s="42"/>
      <c r="K477" s="43"/>
      <c r="L477" s="43"/>
      <c r="M477" s="10"/>
      <c r="N477" s="10"/>
      <c r="O477" s="10"/>
      <c r="P477" s="10"/>
    </row>
    <row r="478" spans="1:16" x14ac:dyDescent="0.25">
      <c r="A478" s="1"/>
      <c r="B478" s="10"/>
      <c r="C478" s="42"/>
      <c r="D478" s="43"/>
      <c r="E478" s="10"/>
      <c r="F478" s="42"/>
      <c r="G478" s="43"/>
      <c r="H478" s="10"/>
      <c r="I478" s="10"/>
      <c r="J478" s="42"/>
      <c r="K478" s="43"/>
      <c r="L478" s="43"/>
      <c r="M478" s="10"/>
      <c r="N478" s="10"/>
      <c r="O478" s="10"/>
      <c r="P478" s="10"/>
    </row>
    <row r="479" spans="1:16" x14ac:dyDescent="0.25">
      <c r="A479" s="1"/>
      <c r="B479" s="10"/>
      <c r="C479" s="42"/>
      <c r="D479" s="43"/>
      <c r="E479" s="10"/>
      <c r="F479" s="42"/>
      <c r="G479" s="43"/>
      <c r="H479" s="10"/>
      <c r="I479" s="10"/>
      <c r="J479" s="42"/>
      <c r="K479" s="43"/>
      <c r="L479" s="43"/>
      <c r="M479" s="10"/>
      <c r="N479" s="10"/>
      <c r="O479" s="10"/>
      <c r="P479" s="10"/>
    </row>
    <row r="480" spans="1:16" x14ac:dyDescent="0.25">
      <c r="A480" s="1"/>
      <c r="B480" s="10"/>
      <c r="C480" s="42"/>
      <c r="D480" s="43"/>
      <c r="E480" s="10"/>
      <c r="F480" s="42"/>
      <c r="G480" s="43"/>
      <c r="H480" s="10"/>
      <c r="I480" s="10"/>
      <c r="J480" s="42"/>
      <c r="K480" s="43"/>
      <c r="L480" s="43"/>
      <c r="M480" s="10"/>
      <c r="N480" s="10"/>
      <c r="O480" s="10"/>
      <c r="P480" s="10"/>
    </row>
    <row r="481" spans="1:16" x14ac:dyDescent="0.25">
      <c r="A481" s="1"/>
      <c r="B481" s="10"/>
      <c r="C481" s="42"/>
      <c r="D481" s="43"/>
      <c r="E481" s="10"/>
      <c r="F481" s="42"/>
      <c r="G481" s="43"/>
      <c r="H481" s="10"/>
      <c r="I481" s="10"/>
      <c r="J481" s="42"/>
      <c r="K481" s="43"/>
      <c r="L481" s="43"/>
      <c r="M481" s="10"/>
      <c r="N481" s="10"/>
      <c r="O481" s="10"/>
      <c r="P481" s="10"/>
    </row>
    <row r="482" spans="1:16" x14ac:dyDescent="0.25">
      <c r="A482" s="1"/>
      <c r="B482" s="10"/>
      <c r="C482" s="42"/>
      <c r="D482" s="43"/>
      <c r="E482" s="10"/>
      <c r="F482" s="42"/>
      <c r="G482" s="43"/>
      <c r="H482" s="10"/>
      <c r="I482" s="10"/>
      <c r="J482" s="42"/>
      <c r="K482" s="43"/>
      <c r="L482" s="43"/>
      <c r="M482" s="10"/>
      <c r="N482" s="10"/>
      <c r="O482" s="10"/>
      <c r="P482" s="10"/>
    </row>
    <row r="483" spans="1:16" x14ac:dyDescent="0.25">
      <c r="A483" s="1"/>
      <c r="B483" s="10"/>
      <c r="C483" s="42"/>
      <c r="D483" s="43"/>
      <c r="E483" s="10"/>
      <c r="F483" s="42"/>
      <c r="G483" s="43"/>
      <c r="H483" s="10"/>
      <c r="I483" s="10"/>
      <c r="J483" s="42"/>
      <c r="K483" s="43"/>
      <c r="L483" s="43"/>
      <c r="M483" s="10"/>
      <c r="N483" s="10"/>
      <c r="O483" s="10"/>
      <c r="P483" s="10"/>
    </row>
    <row r="484" spans="1:16" x14ac:dyDescent="0.25">
      <c r="A484" s="1"/>
      <c r="B484" s="10"/>
      <c r="C484" s="42"/>
      <c r="D484" s="43"/>
      <c r="E484" s="10"/>
      <c r="F484" s="42"/>
      <c r="G484" s="43"/>
      <c r="H484" s="10"/>
      <c r="I484" s="10"/>
      <c r="J484" s="42"/>
      <c r="K484" s="43"/>
      <c r="L484" s="43"/>
      <c r="M484" s="10"/>
      <c r="N484" s="10"/>
      <c r="O484" s="10"/>
      <c r="P484" s="10"/>
    </row>
    <row r="485" spans="1:16" x14ac:dyDescent="0.25">
      <c r="A485" s="1"/>
      <c r="B485" s="10"/>
      <c r="C485" s="42"/>
      <c r="D485" s="43"/>
      <c r="E485" s="10"/>
      <c r="F485" s="42"/>
      <c r="G485" s="43"/>
      <c r="H485" s="10"/>
      <c r="I485" s="10"/>
      <c r="J485" s="42"/>
      <c r="K485" s="43"/>
      <c r="L485" s="43"/>
      <c r="M485" s="10"/>
      <c r="N485" s="10"/>
      <c r="O485" s="10"/>
      <c r="P485" s="10"/>
    </row>
    <row r="486" spans="1:16" x14ac:dyDescent="0.25">
      <c r="A486" s="1"/>
      <c r="B486" s="10"/>
      <c r="C486" s="42"/>
      <c r="D486" s="43"/>
      <c r="E486" s="10"/>
      <c r="F486" s="42"/>
      <c r="G486" s="43"/>
      <c r="H486" s="10"/>
      <c r="I486" s="10"/>
      <c r="J486" s="42"/>
      <c r="K486" s="43"/>
      <c r="L486" s="43"/>
      <c r="M486" s="10"/>
      <c r="N486" s="10"/>
      <c r="O486" s="10"/>
      <c r="P486" s="10"/>
    </row>
    <row r="487" spans="1:16" x14ac:dyDescent="0.25">
      <c r="A487" s="1"/>
      <c r="B487" s="10"/>
      <c r="C487" s="42"/>
      <c r="D487" s="43"/>
      <c r="E487" s="10"/>
      <c r="F487" s="42"/>
      <c r="G487" s="43"/>
      <c r="H487" s="10"/>
      <c r="I487" s="10"/>
      <c r="J487" s="42"/>
      <c r="K487" s="43"/>
      <c r="L487" s="43"/>
      <c r="M487" s="10"/>
      <c r="N487" s="10"/>
      <c r="O487" s="10"/>
      <c r="P487" s="10"/>
    </row>
    <row r="488" spans="1:16" x14ac:dyDescent="0.25">
      <c r="A488" s="1"/>
      <c r="B488" s="10"/>
      <c r="C488" s="42"/>
      <c r="D488" s="43"/>
      <c r="E488" s="10"/>
      <c r="F488" s="42"/>
      <c r="G488" s="43"/>
      <c r="H488" s="10"/>
      <c r="I488" s="10"/>
      <c r="J488" s="42"/>
      <c r="K488" s="43"/>
      <c r="L488" s="43"/>
      <c r="M488" s="10"/>
      <c r="N488" s="10"/>
      <c r="O488" s="10"/>
      <c r="P488" s="10"/>
    </row>
    <row r="489" spans="1:16" x14ac:dyDescent="0.25">
      <c r="A489" s="1"/>
      <c r="B489" s="10"/>
      <c r="C489" s="42"/>
      <c r="D489" s="43"/>
      <c r="E489" s="10"/>
      <c r="F489" s="42"/>
      <c r="G489" s="43"/>
      <c r="H489" s="10"/>
      <c r="I489" s="10"/>
      <c r="J489" s="42"/>
      <c r="K489" s="43"/>
      <c r="L489" s="43"/>
      <c r="M489" s="10"/>
      <c r="N489" s="10"/>
      <c r="O489" s="10"/>
      <c r="P489" s="10"/>
    </row>
    <row r="490" spans="1:16" x14ac:dyDescent="0.25">
      <c r="A490" s="1"/>
      <c r="B490" s="10"/>
      <c r="C490" s="42"/>
      <c r="D490" s="43"/>
      <c r="E490" s="10"/>
      <c r="F490" s="42"/>
      <c r="G490" s="43"/>
      <c r="H490" s="10"/>
      <c r="I490" s="10"/>
      <c r="J490" s="42"/>
      <c r="K490" s="43"/>
      <c r="L490" s="43"/>
      <c r="M490" s="10"/>
      <c r="N490" s="10"/>
      <c r="O490" s="10"/>
      <c r="P490" s="10"/>
    </row>
    <row r="491" spans="1:16" x14ac:dyDescent="0.25">
      <c r="A491" s="1"/>
      <c r="B491" s="10"/>
      <c r="C491" s="42"/>
      <c r="D491" s="43"/>
      <c r="E491" s="10"/>
      <c r="F491" s="42"/>
      <c r="G491" s="43"/>
      <c r="H491" s="10"/>
      <c r="I491" s="10"/>
      <c r="J491" s="42"/>
      <c r="K491" s="43"/>
      <c r="L491" s="43"/>
      <c r="M491" s="10"/>
      <c r="N491" s="10"/>
      <c r="O491" s="10"/>
      <c r="P491" s="10"/>
    </row>
    <row r="492" spans="1:16" x14ac:dyDescent="0.25">
      <c r="A492" s="1"/>
      <c r="B492" s="10"/>
      <c r="C492" s="42"/>
      <c r="D492" s="43"/>
      <c r="E492" s="10"/>
      <c r="F492" s="42"/>
      <c r="G492" s="43"/>
      <c r="H492" s="10"/>
      <c r="I492" s="10"/>
      <c r="J492" s="42"/>
      <c r="K492" s="43"/>
      <c r="L492" s="43"/>
      <c r="M492" s="10"/>
      <c r="N492" s="10"/>
      <c r="O492" s="10"/>
      <c r="P492" s="10"/>
    </row>
    <row r="493" spans="1:16" x14ac:dyDescent="0.25">
      <c r="A493" s="1"/>
      <c r="B493" s="10"/>
      <c r="C493" s="42"/>
      <c r="D493" s="43"/>
      <c r="E493" s="10"/>
      <c r="F493" s="42"/>
      <c r="G493" s="43"/>
      <c r="H493" s="10"/>
      <c r="I493" s="10"/>
      <c r="J493" s="42"/>
      <c r="K493" s="43"/>
      <c r="L493" s="43"/>
      <c r="M493" s="10"/>
      <c r="N493" s="10"/>
      <c r="O493" s="10"/>
      <c r="P493" s="10"/>
    </row>
    <row r="494" spans="1:16" x14ac:dyDescent="0.25">
      <c r="A494" s="1"/>
      <c r="B494" s="10"/>
      <c r="C494" s="42"/>
      <c r="D494" s="43"/>
      <c r="E494" s="10"/>
      <c r="F494" s="42"/>
      <c r="G494" s="43"/>
      <c r="H494" s="10"/>
      <c r="I494" s="10"/>
      <c r="J494" s="42"/>
      <c r="K494" s="43"/>
      <c r="L494" s="43"/>
      <c r="M494" s="10"/>
      <c r="N494" s="10"/>
      <c r="O494" s="10"/>
      <c r="P494" s="10"/>
    </row>
    <row r="495" spans="1:16" x14ac:dyDescent="0.25">
      <c r="A495" s="1"/>
      <c r="B495" s="10"/>
      <c r="C495" s="42"/>
      <c r="D495" s="43"/>
      <c r="E495" s="10"/>
      <c r="F495" s="42"/>
      <c r="G495" s="43"/>
      <c r="H495" s="10"/>
      <c r="I495" s="10"/>
      <c r="J495" s="42"/>
      <c r="K495" s="43"/>
      <c r="L495" s="43"/>
      <c r="M495" s="10"/>
      <c r="N495" s="10"/>
      <c r="O495" s="10"/>
      <c r="P495" s="10"/>
    </row>
    <row r="496" spans="1:16" x14ac:dyDescent="0.25">
      <c r="A496" s="1"/>
      <c r="B496" s="10"/>
      <c r="C496" s="42"/>
      <c r="D496" s="43"/>
      <c r="E496" s="10"/>
      <c r="F496" s="42"/>
      <c r="G496" s="43"/>
      <c r="H496" s="10"/>
      <c r="I496" s="10"/>
      <c r="J496" s="42"/>
      <c r="K496" s="43"/>
      <c r="L496" s="43"/>
      <c r="M496" s="10"/>
      <c r="N496" s="10"/>
      <c r="O496" s="10"/>
      <c r="P496" s="10"/>
    </row>
    <row r="497" spans="1:16" x14ac:dyDescent="0.25">
      <c r="A497" s="1"/>
      <c r="B497" s="10"/>
      <c r="C497" s="42"/>
      <c r="D497" s="43"/>
      <c r="E497" s="10"/>
      <c r="F497" s="42"/>
      <c r="G497" s="43"/>
      <c r="H497" s="10"/>
      <c r="I497" s="10"/>
      <c r="J497" s="42"/>
      <c r="K497" s="43"/>
      <c r="L497" s="43"/>
      <c r="M497" s="10"/>
      <c r="N497" s="10"/>
      <c r="O497" s="10"/>
      <c r="P497" s="10"/>
    </row>
    <row r="498" spans="1:16" x14ac:dyDescent="0.25">
      <c r="A498" s="1"/>
      <c r="B498" s="10"/>
      <c r="C498" s="42"/>
      <c r="D498" s="43"/>
      <c r="E498" s="10"/>
      <c r="F498" s="42"/>
      <c r="G498" s="43"/>
      <c r="H498" s="10"/>
      <c r="I498" s="10"/>
      <c r="J498" s="42"/>
      <c r="K498" s="43"/>
      <c r="L498" s="43"/>
      <c r="M498" s="10"/>
      <c r="N498" s="10"/>
      <c r="O498" s="10"/>
      <c r="P498" s="10"/>
    </row>
    <row r="499" spans="1:16" x14ac:dyDescent="0.25">
      <c r="A499" s="1"/>
      <c r="B499" s="10"/>
      <c r="C499" s="42"/>
      <c r="D499" s="43"/>
      <c r="E499" s="10"/>
      <c r="F499" s="42"/>
      <c r="G499" s="43"/>
      <c r="H499" s="10"/>
      <c r="I499" s="10"/>
      <c r="J499" s="42"/>
      <c r="K499" s="43"/>
      <c r="L499" s="43"/>
      <c r="M499" s="10"/>
      <c r="N499" s="10"/>
      <c r="O499" s="10"/>
      <c r="P499" s="10"/>
    </row>
    <row r="500" spans="1:16" x14ac:dyDescent="0.25">
      <c r="A500" s="1"/>
      <c r="B500" s="10"/>
      <c r="C500" s="42"/>
      <c r="D500" s="43"/>
      <c r="E500" s="10"/>
      <c r="F500" s="42"/>
      <c r="G500" s="43"/>
      <c r="H500" s="10"/>
      <c r="I500" s="10"/>
      <c r="J500" s="42"/>
      <c r="K500" s="43"/>
      <c r="L500" s="43"/>
      <c r="M500" s="10"/>
      <c r="N500" s="10"/>
      <c r="O500" s="10"/>
      <c r="P500" s="10"/>
    </row>
    <row r="501" spans="1:16" x14ac:dyDescent="0.25">
      <c r="A501" s="1"/>
      <c r="B501" s="10"/>
      <c r="C501" s="42"/>
      <c r="D501" s="43"/>
      <c r="E501" s="10"/>
      <c r="F501" s="42"/>
      <c r="G501" s="43"/>
      <c r="H501" s="10"/>
      <c r="I501" s="10"/>
      <c r="J501" s="42"/>
      <c r="K501" s="43"/>
      <c r="L501" s="43"/>
      <c r="M501" s="10"/>
      <c r="N501" s="10"/>
      <c r="O501" s="10"/>
      <c r="P501" s="10"/>
    </row>
    <row r="502" spans="1:16" x14ac:dyDescent="0.25">
      <c r="A502" s="1"/>
      <c r="B502" s="10"/>
      <c r="C502" s="42"/>
      <c r="D502" s="43"/>
      <c r="E502" s="10"/>
      <c r="F502" s="42"/>
      <c r="G502" s="43"/>
      <c r="H502" s="10"/>
      <c r="I502" s="10"/>
      <c r="J502" s="42"/>
      <c r="K502" s="43"/>
      <c r="L502" s="43"/>
      <c r="M502" s="10"/>
      <c r="N502" s="10"/>
      <c r="O502" s="10"/>
      <c r="P502" s="10"/>
    </row>
    <row r="503" spans="1:16" x14ac:dyDescent="0.25">
      <c r="A503" s="1"/>
      <c r="B503" s="10"/>
      <c r="C503" s="42"/>
      <c r="D503" s="43"/>
      <c r="E503" s="10"/>
      <c r="F503" s="42"/>
      <c r="G503" s="43"/>
      <c r="H503" s="10"/>
      <c r="I503" s="10"/>
      <c r="J503" s="42"/>
      <c r="K503" s="43"/>
      <c r="L503" s="43"/>
      <c r="M503" s="10"/>
      <c r="N503" s="10"/>
      <c r="O503" s="10"/>
      <c r="P503" s="10"/>
    </row>
    <row r="504" spans="1:16" x14ac:dyDescent="0.25">
      <c r="A504" s="1"/>
      <c r="B504" s="10"/>
      <c r="C504" s="42"/>
      <c r="D504" s="43"/>
      <c r="E504" s="10"/>
      <c r="F504" s="42"/>
      <c r="G504" s="43"/>
      <c r="H504" s="10"/>
      <c r="I504" s="10"/>
      <c r="J504" s="42"/>
      <c r="K504" s="43"/>
      <c r="L504" s="43"/>
      <c r="M504" s="10"/>
      <c r="N504" s="10"/>
      <c r="O504" s="10"/>
      <c r="P504" s="10"/>
    </row>
    <row r="505" spans="1:16" x14ac:dyDescent="0.25">
      <c r="A505" s="1"/>
      <c r="B505" s="10"/>
      <c r="C505" s="42"/>
      <c r="D505" s="43"/>
      <c r="E505" s="10"/>
      <c r="F505" s="42"/>
      <c r="G505" s="43"/>
      <c r="H505" s="10"/>
      <c r="I505" s="10"/>
      <c r="J505" s="42"/>
      <c r="K505" s="43"/>
      <c r="L505" s="43"/>
      <c r="M505" s="10"/>
      <c r="N505" s="10"/>
      <c r="O505" s="10"/>
      <c r="P505" s="10"/>
    </row>
    <row r="506" spans="1:16" x14ac:dyDescent="0.25">
      <c r="A506" s="1"/>
      <c r="B506" s="10"/>
      <c r="C506" s="42"/>
      <c r="D506" s="43"/>
      <c r="E506" s="10"/>
      <c r="F506" s="42"/>
      <c r="G506" s="43"/>
      <c r="H506" s="10"/>
      <c r="I506" s="10"/>
      <c r="J506" s="42"/>
      <c r="K506" s="43"/>
      <c r="L506" s="43"/>
      <c r="M506" s="10"/>
      <c r="N506" s="10"/>
      <c r="O506" s="10"/>
      <c r="P506" s="10"/>
    </row>
    <row r="507" spans="1:16" x14ac:dyDescent="0.25">
      <c r="A507" s="1"/>
      <c r="B507" s="10"/>
      <c r="C507" s="42"/>
      <c r="D507" s="43"/>
      <c r="E507" s="10"/>
      <c r="F507" s="42"/>
      <c r="G507" s="43"/>
      <c r="H507" s="10"/>
      <c r="I507" s="10"/>
      <c r="J507" s="42"/>
      <c r="K507" s="43"/>
      <c r="L507" s="43"/>
      <c r="M507" s="10"/>
      <c r="N507" s="10"/>
      <c r="O507" s="10"/>
      <c r="P507" s="10"/>
    </row>
    <row r="508" spans="1:16" x14ac:dyDescent="0.25">
      <c r="A508" s="1"/>
      <c r="B508" s="10"/>
      <c r="C508" s="42"/>
      <c r="D508" s="43"/>
      <c r="E508" s="10"/>
      <c r="F508" s="42"/>
      <c r="G508" s="43"/>
      <c r="H508" s="10"/>
      <c r="I508" s="10"/>
      <c r="J508" s="42"/>
      <c r="K508" s="43"/>
      <c r="L508" s="43"/>
      <c r="M508" s="10"/>
      <c r="N508" s="10"/>
      <c r="O508" s="10"/>
      <c r="P508" s="10"/>
    </row>
    <row r="509" spans="1:16" x14ac:dyDescent="0.25">
      <c r="A509" s="1"/>
      <c r="B509" s="10"/>
      <c r="C509" s="42"/>
      <c r="D509" s="43"/>
      <c r="E509" s="10"/>
      <c r="F509" s="42"/>
      <c r="G509" s="43"/>
      <c r="H509" s="10"/>
      <c r="I509" s="10"/>
      <c r="J509" s="42"/>
      <c r="K509" s="43"/>
      <c r="L509" s="43"/>
      <c r="M509" s="10"/>
      <c r="N509" s="10"/>
      <c r="O509" s="10"/>
      <c r="P509" s="10"/>
    </row>
    <row r="510" spans="1:16" x14ac:dyDescent="0.25">
      <c r="A510" s="1"/>
      <c r="B510" s="10"/>
      <c r="C510" s="42"/>
      <c r="D510" s="43"/>
      <c r="E510" s="10"/>
      <c r="F510" s="42"/>
      <c r="G510" s="43"/>
      <c r="H510" s="10"/>
      <c r="I510" s="10"/>
      <c r="J510" s="42"/>
      <c r="K510" s="43"/>
      <c r="L510" s="43"/>
      <c r="M510" s="10"/>
      <c r="N510" s="10"/>
      <c r="O510" s="10"/>
      <c r="P510" s="10"/>
    </row>
    <row r="511" spans="1:16" x14ac:dyDescent="0.25">
      <c r="A511" s="1"/>
      <c r="B511" s="10"/>
      <c r="C511" s="42"/>
      <c r="D511" s="43"/>
      <c r="E511" s="10"/>
      <c r="F511" s="42"/>
      <c r="G511" s="43"/>
      <c r="H511" s="10"/>
      <c r="I511" s="10"/>
      <c r="J511" s="42"/>
      <c r="K511" s="43"/>
      <c r="L511" s="43"/>
      <c r="M511" s="10"/>
      <c r="N511" s="10"/>
      <c r="O511" s="10"/>
      <c r="P511" s="10"/>
    </row>
    <row r="512" spans="1:16" x14ac:dyDescent="0.25">
      <c r="A512" s="1"/>
      <c r="B512" s="10"/>
      <c r="C512" s="42"/>
      <c r="D512" s="43"/>
      <c r="E512" s="10"/>
      <c r="F512" s="42"/>
      <c r="G512" s="43"/>
      <c r="H512" s="10"/>
      <c r="I512" s="10"/>
      <c r="J512" s="42"/>
      <c r="K512" s="43"/>
      <c r="L512" s="43"/>
      <c r="M512" s="10"/>
      <c r="N512" s="10"/>
      <c r="O512" s="10"/>
      <c r="P512" s="10"/>
    </row>
    <row r="513" spans="1:16" x14ac:dyDescent="0.25">
      <c r="A513" s="1"/>
      <c r="B513" s="10"/>
      <c r="C513" s="42"/>
      <c r="D513" s="43"/>
      <c r="E513" s="10"/>
      <c r="F513" s="42"/>
      <c r="G513" s="43"/>
      <c r="H513" s="10"/>
      <c r="I513" s="10"/>
      <c r="J513" s="42"/>
      <c r="K513" s="43"/>
      <c r="L513" s="43"/>
      <c r="M513" s="10"/>
      <c r="N513" s="10"/>
      <c r="O513" s="10"/>
      <c r="P513" s="10"/>
    </row>
    <row r="514" spans="1:16" x14ac:dyDescent="0.25">
      <c r="A514" s="1"/>
      <c r="B514" s="10"/>
      <c r="C514" s="42"/>
      <c r="D514" s="43"/>
      <c r="E514" s="10"/>
      <c r="F514" s="42"/>
      <c r="G514" s="43"/>
      <c r="H514" s="10"/>
      <c r="I514" s="10"/>
      <c r="J514" s="42"/>
      <c r="K514" s="43"/>
      <c r="L514" s="43"/>
      <c r="M514" s="10"/>
      <c r="N514" s="10"/>
      <c r="O514" s="10"/>
      <c r="P514" s="10"/>
    </row>
    <row r="515" spans="1:16" x14ac:dyDescent="0.25">
      <c r="A515" s="1"/>
      <c r="B515" s="10"/>
      <c r="C515" s="42"/>
      <c r="D515" s="43"/>
      <c r="E515" s="10"/>
      <c r="F515" s="42"/>
      <c r="G515" s="43"/>
      <c r="H515" s="10"/>
      <c r="I515" s="10"/>
      <c r="J515" s="42"/>
      <c r="K515" s="43"/>
      <c r="L515" s="43"/>
      <c r="M515" s="10"/>
      <c r="N515" s="10"/>
      <c r="O515" s="10"/>
      <c r="P515" s="10"/>
    </row>
    <row r="516" spans="1:16" x14ac:dyDescent="0.25">
      <c r="A516" s="1"/>
      <c r="B516" s="10"/>
      <c r="C516" s="42"/>
      <c r="D516" s="43"/>
      <c r="E516" s="10"/>
      <c r="F516" s="42"/>
      <c r="G516" s="43"/>
      <c r="H516" s="10"/>
      <c r="I516" s="10"/>
      <c r="J516" s="42"/>
      <c r="K516" s="43"/>
      <c r="L516" s="43"/>
      <c r="M516" s="10"/>
      <c r="N516" s="10"/>
      <c r="O516" s="10"/>
      <c r="P516" s="10"/>
    </row>
    <row r="517" spans="1:16" x14ac:dyDescent="0.25">
      <c r="A517" s="1"/>
      <c r="B517" s="10"/>
      <c r="C517" s="42"/>
      <c r="D517" s="43"/>
      <c r="E517" s="10"/>
      <c r="F517" s="42"/>
      <c r="G517" s="43"/>
      <c r="H517" s="10"/>
      <c r="I517" s="10"/>
      <c r="J517" s="42"/>
      <c r="K517" s="43"/>
      <c r="L517" s="43"/>
      <c r="M517" s="10"/>
      <c r="N517" s="10"/>
      <c r="O517" s="10"/>
      <c r="P517" s="10"/>
    </row>
    <row r="518" spans="1:16" x14ac:dyDescent="0.25">
      <c r="A518" s="1"/>
      <c r="B518" s="10"/>
      <c r="C518" s="42"/>
      <c r="D518" s="43"/>
      <c r="E518" s="10"/>
      <c r="F518" s="42"/>
      <c r="G518" s="43"/>
      <c r="H518" s="10"/>
      <c r="I518" s="10"/>
      <c r="J518" s="42"/>
      <c r="K518" s="43"/>
      <c r="L518" s="43"/>
      <c r="M518" s="10"/>
      <c r="N518" s="10"/>
      <c r="O518" s="10"/>
      <c r="P518" s="10"/>
    </row>
    <row r="519" spans="1:16" x14ac:dyDescent="0.25">
      <c r="A519" s="1"/>
      <c r="B519" s="10"/>
      <c r="C519" s="42"/>
      <c r="D519" s="43"/>
      <c r="E519" s="10"/>
      <c r="F519" s="42"/>
      <c r="G519" s="43"/>
      <c r="H519" s="10"/>
      <c r="I519" s="10"/>
      <c r="J519" s="42"/>
      <c r="K519" s="43"/>
      <c r="L519" s="43"/>
      <c r="M519" s="10"/>
      <c r="N519" s="10"/>
      <c r="O519" s="10"/>
      <c r="P519" s="10"/>
    </row>
    <row r="520" spans="1:16" x14ac:dyDescent="0.25">
      <c r="A520" s="1"/>
      <c r="B520" s="10"/>
      <c r="C520" s="42"/>
      <c r="D520" s="43"/>
      <c r="E520" s="10"/>
      <c r="F520" s="42"/>
      <c r="G520" s="43"/>
      <c r="H520" s="10"/>
      <c r="I520" s="10"/>
      <c r="J520" s="42"/>
      <c r="K520" s="43"/>
      <c r="L520" s="43"/>
      <c r="M520" s="10"/>
      <c r="N520" s="10"/>
      <c r="O520" s="10"/>
      <c r="P520" s="10"/>
    </row>
    <row r="521" spans="1:16" x14ac:dyDescent="0.25">
      <c r="A521" s="1"/>
      <c r="B521" s="10"/>
      <c r="C521" s="42"/>
      <c r="D521" s="43"/>
      <c r="E521" s="10"/>
      <c r="F521" s="42"/>
      <c r="G521" s="43"/>
      <c r="H521" s="10"/>
      <c r="I521" s="10"/>
      <c r="J521" s="42"/>
      <c r="K521" s="43"/>
      <c r="L521" s="43"/>
      <c r="M521" s="10"/>
      <c r="N521" s="10"/>
      <c r="O521" s="10"/>
      <c r="P521" s="10"/>
    </row>
    <row r="522" spans="1:16" x14ac:dyDescent="0.25">
      <c r="A522" s="1"/>
      <c r="B522" s="10"/>
      <c r="C522" s="42"/>
      <c r="D522" s="43"/>
      <c r="E522" s="10"/>
      <c r="F522" s="42"/>
      <c r="G522" s="43"/>
      <c r="H522" s="10"/>
      <c r="I522" s="10"/>
      <c r="J522" s="42"/>
      <c r="K522" s="43"/>
      <c r="L522" s="43"/>
      <c r="M522" s="10"/>
      <c r="N522" s="10"/>
      <c r="O522" s="10"/>
      <c r="P522" s="10"/>
    </row>
    <row r="523" spans="1:16" x14ac:dyDescent="0.25">
      <c r="A523" s="1"/>
      <c r="B523" s="10"/>
      <c r="C523" s="42"/>
      <c r="D523" s="43"/>
      <c r="E523" s="10"/>
      <c r="F523" s="42"/>
      <c r="G523" s="43"/>
      <c r="H523" s="10"/>
      <c r="I523" s="10"/>
      <c r="J523" s="42"/>
      <c r="K523" s="43"/>
      <c r="L523" s="43"/>
      <c r="M523" s="10"/>
      <c r="N523" s="10"/>
      <c r="O523" s="10"/>
      <c r="P523" s="10"/>
    </row>
    <row r="524" spans="1:16" x14ac:dyDescent="0.25">
      <c r="A524" s="1"/>
      <c r="B524" s="10"/>
      <c r="C524" s="42"/>
      <c r="D524" s="43"/>
      <c r="E524" s="10"/>
      <c r="F524" s="42"/>
      <c r="G524" s="43"/>
      <c r="H524" s="10"/>
      <c r="I524" s="10"/>
      <c r="J524" s="42"/>
      <c r="K524" s="43"/>
      <c r="L524" s="43"/>
      <c r="M524" s="10"/>
      <c r="N524" s="10"/>
      <c r="O524" s="10"/>
      <c r="P524" s="10"/>
    </row>
    <row r="525" spans="1:16" x14ac:dyDescent="0.25">
      <c r="A525" s="1"/>
      <c r="B525" s="10"/>
      <c r="C525" s="42"/>
      <c r="D525" s="43"/>
      <c r="E525" s="10"/>
      <c r="F525" s="42"/>
      <c r="G525" s="43"/>
      <c r="H525" s="10"/>
      <c r="I525" s="10"/>
      <c r="J525" s="42"/>
      <c r="K525" s="43"/>
      <c r="L525" s="43"/>
      <c r="M525" s="10"/>
      <c r="N525" s="10"/>
      <c r="O525" s="10"/>
      <c r="P525" s="10"/>
    </row>
    <row r="526" spans="1:16" x14ac:dyDescent="0.25">
      <c r="A526" s="1"/>
      <c r="B526" s="10"/>
      <c r="C526" s="42"/>
      <c r="D526" s="43"/>
      <c r="E526" s="10"/>
      <c r="F526" s="42"/>
      <c r="G526" s="43"/>
      <c r="H526" s="10"/>
      <c r="I526" s="10"/>
      <c r="J526" s="42"/>
      <c r="K526" s="43"/>
      <c r="L526" s="43"/>
      <c r="M526" s="10"/>
      <c r="N526" s="10"/>
      <c r="O526" s="10"/>
      <c r="P526" s="10"/>
    </row>
    <row r="527" spans="1:16" x14ac:dyDescent="0.25">
      <c r="A527" s="1"/>
      <c r="B527" s="10"/>
      <c r="C527" s="42"/>
      <c r="D527" s="43"/>
      <c r="E527" s="10"/>
      <c r="F527" s="42"/>
      <c r="G527" s="43"/>
      <c r="H527" s="10"/>
      <c r="I527" s="10"/>
      <c r="J527" s="42"/>
      <c r="K527" s="43"/>
      <c r="L527" s="43"/>
      <c r="M527" s="10"/>
      <c r="N527" s="10"/>
      <c r="O527" s="10"/>
      <c r="P527" s="10"/>
    </row>
    <row r="528" spans="1:16" x14ac:dyDescent="0.25">
      <c r="A528" s="1"/>
      <c r="B528" s="10"/>
      <c r="C528" s="42"/>
      <c r="D528" s="43"/>
      <c r="E528" s="10"/>
      <c r="F528" s="42"/>
      <c r="G528" s="43"/>
      <c r="H528" s="10"/>
      <c r="I528" s="10"/>
      <c r="J528" s="42"/>
      <c r="K528" s="43"/>
      <c r="L528" s="43"/>
      <c r="M528" s="10"/>
      <c r="N528" s="10"/>
      <c r="O528" s="10"/>
      <c r="P528" s="10"/>
    </row>
    <row r="529" spans="1:16" x14ac:dyDescent="0.25">
      <c r="A529" s="1"/>
      <c r="B529" s="10"/>
      <c r="C529" s="42"/>
      <c r="D529" s="43"/>
      <c r="E529" s="10"/>
      <c r="F529" s="42"/>
      <c r="G529" s="43"/>
      <c r="H529" s="10"/>
      <c r="I529" s="10"/>
      <c r="J529" s="42"/>
      <c r="K529" s="43"/>
      <c r="L529" s="43"/>
      <c r="M529" s="10"/>
      <c r="N529" s="10"/>
      <c r="O529" s="10"/>
      <c r="P529" s="10"/>
    </row>
    <row r="530" spans="1:16" x14ac:dyDescent="0.25">
      <c r="A530" s="1"/>
      <c r="B530" s="10"/>
      <c r="C530" s="42"/>
      <c r="D530" s="43"/>
      <c r="E530" s="10"/>
      <c r="F530" s="42"/>
      <c r="G530" s="43"/>
      <c r="H530" s="10"/>
      <c r="I530" s="10"/>
      <c r="J530" s="42"/>
      <c r="K530" s="43"/>
      <c r="L530" s="43"/>
      <c r="M530" s="10"/>
      <c r="N530" s="10"/>
      <c r="O530" s="10"/>
      <c r="P530" s="10"/>
    </row>
    <row r="531" spans="1:16" x14ac:dyDescent="0.25">
      <c r="A531" s="1"/>
      <c r="B531" s="10"/>
      <c r="C531" s="42"/>
      <c r="D531" s="43"/>
      <c r="E531" s="10"/>
      <c r="F531" s="42"/>
      <c r="G531" s="43"/>
      <c r="H531" s="10"/>
      <c r="I531" s="10"/>
      <c r="J531" s="42"/>
      <c r="K531" s="43"/>
      <c r="L531" s="43"/>
      <c r="M531" s="10"/>
      <c r="N531" s="10"/>
      <c r="O531" s="10"/>
      <c r="P531" s="10"/>
    </row>
    <row r="532" spans="1:16" x14ac:dyDescent="0.25">
      <c r="A532" s="1"/>
      <c r="B532" s="10"/>
      <c r="C532" s="42"/>
      <c r="D532" s="43"/>
      <c r="E532" s="10"/>
      <c r="F532" s="42"/>
      <c r="G532" s="43"/>
      <c r="H532" s="10"/>
      <c r="I532" s="10"/>
      <c r="J532" s="42"/>
      <c r="K532" s="43"/>
      <c r="L532" s="43"/>
      <c r="M532" s="10"/>
      <c r="N532" s="10"/>
      <c r="O532" s="10"/>
      <c r="P532" s="10"/>
    </row>
    <row r="533" spans="1:16" x14ac:dyDescent="0.25">
      <c r="A533" s="1"/>
      <c r="B533" s="10"/>
      <c r="C533" s="42"/>
      <c r="D533" s="43"/>
      <c r="E533" s="10"/>
      <c r="F533" s="42"/>
      <c r="G533" s="43"/>
      <c r="H533" s="10"/>
      <c r="I533" s="10"/>
      <c r="J533" s="42"/>
      <c r="K533" s="43"/>
      <c r="L533" s="43"/>
      <c r="M533" s="10"/>
      <c r="N533" s="10"/>
      <c r="O533" s="10"/>
      <c r="P533" s="10"/>
    </row>
    <row r="534" spans="1:16" x14ac:dyDescent="0.25">
      <c r="A534" s="1"/>
      <c r="B534" s="10"/>
      <c r="C534" s="42"/>
      <c r="D534" s="43"/>
      <c r="E534" s="10"/>
      <c r="F534" s="42"/>
      <c r="G534" s="43"/>
      <c r="H534" s="10"/>
      <c r="I534" s="10"/>
      <c r="J534" s="42"/>
      <c r="K534" s="43"/>
      <c r="L534" s="43"/>
      <c r="M534" s="10"/>
      <c r="N534" s="10"/>
      <c r="O534" s="10"/>
      <c r="P534" s="10"/>
    </row>
    <row r="535" spans="1:16" x14ac:dyDescent="0.25">
      <c r="A535" s="1"/>
      <c r="B535" s="10"/>
      <c r="C535" s="42"/>
      <c r="D535" s="43"/>
      <c r="E535" s="10"/>
      <c r="F535" s="42"/>
      <c r="G535" s="43"/>
      <c r="H535" s="10"/>
      <c r="I535" s="10"/>
      <c r="J535" s="42"/>
      <c r="K535" s="43"/>
      <c r="L535" s="43"/>
      <c r="M535" s="10"/>
      <c r="N535" s="10"/>
      <c r="O535" s="10"/>
      <c r="P535" s="10"/>
    </row>
    <row r="536" spans="1:16" x14ac:dyDescent="0.25">
      <c r="A536" s="1"/>
      <c r="B536" s="10"/>
      <c r="C536" s="42"/>
      <c r="D536" s="43"/>
      <c r="E536" s="10"/>
      <c r="F536" s="42"/>
      <c r="G536" s="43"/>
      <c r="H536" s="10"/>
      <c r="I536" s="10"/>
      <c r="J536" s="42"/>
      <c r="K536" s="43"/>
      <c r="L536" s="43"/>
      <c r="M536" s="10"/>
      <c r="N536" s="10"/>
      <c r="O536" s="10"/>
      <c r="P536" s="10"/>
    </row>
    <row r="537" spans="1:16" x14ac:dyDescent="0.25">
      <c r="A537" s="1"/>
      <c r="B537" s="10"/>
      <c r="C537" s="42"/>
      <c r="D537" s="43"/>
      <c r="E537" s="10"/>
      <c r="F537" s="42"/>
      <c r="G537" s="43"/>
      <c r="H537" s="10"/>
      <c r="I537" s="10"/>
      <c r="J537" s="42"/>
      <c r="K537" s="43"/>
      <c r="L537" s="43"/>
      <c r="M537" s="10"/>
      <c r="N537" s="10"/>
      <c r="O537" s="10"/>
      <c r="P537" s="10"/>
    </row>
    <row r="538" spans="1:16" x14ac:dyDescent="0.25">
      <c r="A538" s="1"/>
      <c r="B538" s="10"/>
      <c r="C538" s="42"/>
      <c r="D538" s="43"/>
      <c r="E538" s="10"/>
      <c r="F538" s="42"/>
      <c r="G538" s="43"/>
      <c r="H538" s="10"/>
      <c r="I538" s="10"/>
      <c r="J538" s="42"/>
      <c r="K538" s="43"/>
      <c r="L538" s="43"/>
      <c r="M538" s="10"/>
      <c r="N538" s="10"/>
      <c r="O538" s="10"/>
      <c r="P538" s="10"/>
    </row>
    <row r="539" spans="1:16" x14ac:dyDescent="0.25">
      <c r="A539" s="1"/>
      <c r="B539" s="10"/>
      <c r="C539" s="42"/>
      <c r="D539" s="43"/>
      <c r="E539" s="10"/>
      <c r="F539" s="42"/>
      <c r="G539" s="43"/>
      <c r="H539" s="10"/>
      <c r="I539" s="10"/>
      <c r="J539" s="42"/>
      <c r="K539" s="43"/>
      <c r="L539" s="43"/>
      <c r="M539" s="10"/>
      <c r="N539" s="10"/>
      <c r="O539" s="10"/>
      <c r="P539" s="10"/>
    </row>
    <row r="540" spans="1:16" x14ac:dyDescent="0.25">
      <c r="A540" s="1"/>
      <c r="B540" s="10"/>
      <c r="C540" s="42"/>
      <c r="D540" s="43"/>
      <c r="E540" s="10"/>
      <c r="F540" s="42"/>
      <c r="G540" s="43"/>
      <c r="H540" s="10"/>
      <c r="I540" s="10"/>
      <c r="J540" s="42"/>
      <c r="K540" s="43"/>
      <c r="L540" s="43"/>
      <c r="M540" s="10"/>
      <c r="N540" s="10"/>
      <c r="O540" s="10"/>
      <c r="P540" s="10"/>
    </row>
    <row r="541" spans="1:16" x14ac:dyDescent="0.25">
      <c r="A541" s="1"/>
      <c r="B541" s="10"/>
      <c r="C541" s="42"/>
      <c r="D541" s="43"/>
      <c r="E541" s="10"/>
      <c r="F541" s="42"/>
      <c r="G541" s="43"/>
      <c r="H541" s="10"/>
      <c r="I541" s="10"/>
      <c r="J541" s="42"/>
      <c r="K541" s="43"/>
      <c r="L541" s="43"/>
      <c r="M541" s="10"/>
      <c r="N541" s="10"/>
      <c r="O541" s="10"/>
      <c r="P541" s="10"/>
    </row>
    <row r="542" spans="1:16" x14ac:dyDescent="0.25">
      <c r="A542" s="1"/>
      <c r="B542" s="10"/>
      <c r="C542" s="42"/>
      <c r="D542" s="43"/>
      <c r="E542" s="10"/>
      <c r="F542" s="42"/>
      <c r="G542" s="43"/>
      <c r="H542" s="10"/>
      <c r="I542" s="10"/>
      <c r="J542" s="42"/>
      <c r="K542" s="43"/>
      <c r="L542" s="43"/>
      <c r="M542" s="10"/>
      <c r="N542" s="10"/>
      <c r="O542" s="10"/>
      <c r="P542" s="10"/>
    </row>
    <row r="543" spans="1:16" x14ac:dyDescent="0.25">
      <c r="A543" s="1"/>
      <c r="B543" s="10"/>
      <c r="C543" s="42"/>
      <c r="D543" s="43"/>
      <c r="E543" s="10"/>
      <c r="F543" s="42"/>
      <c r="G543" s="43"/>
      <c r="H543" s="10"/>
      <c r="I543" s="10"/>
      <c r="J543" s="42"/>
      <c r="K543" s="43"/>
      <c r="L543" s="43"/>
      <c r="M543" s="10"/>
      <c r="N543" s="10"/>
      <c r="O543" s="10"/>
      <c r="P543" s="10"/>
    </row>
    <row r="544" spans="1:16" x14ac:dyDescent="0.25">
      <c r="A544" s="1"/>
      <c r="B544" s="10"/>
      <c r="C544" s="42"/>
      <c r="D544" s="43"/>
      <c r="E544" s="10"/>
      <c r="F544" s="42"/>
      <c r="G544" s="43"/>
      <c r="H544" s="10"/>
      <c r="I544" s="10"/>
      <c r="J544" s="42"/>
      <c r="K544" s="43"/>
      <c r="L544" s="43"/>
      <c r="M544" s="10"/>
      <c r="N544" s="10"/>
      <c r="O544" s="10"/>
      <c r="P544" s="10"/>
    </row>
    <row r="545" spans="1:16" x14ac:dyDescent="0.25">
      <c r="A545" s="1"/>
      <c r="B545" s="10"/>
      <c r="C545" s="42"/>
      <c r="D545" s="43"/>
      <c r="E545" s="10"/>
      <c r="F545" s="42"/>
      <c r="G545" s="43"/>
      <c r="H545" s="10"/>
      <c r="I545" s="10"/>
      <c r="J545" s="42"/>
      <c r="K545" s="43"/>
      <c r="L545" s="43"/>
      <c r="M545" s="10"/>
      <c r="N545" s="10"/>
      <c r="O545" s="10"/>
      <c r="P545" s="10"/>
    </row>
    <row r="546" spans="1:16" x14ac:dyDescent="0.25">
      <c r="A546" s="1"/>
      <c r="B546" s="10"/>
      <c r="C546" s="42"/>
      <c r="D546" s="43"/>
      <c r="E546" s="10"/>
      <c r="F546" s="42"/>
      <c r="G546" s="43"/>
      <c r="H546" s="10"/>
      <c r="I546" s="10"/>
      <c r="J546" s="42"/>
      <c r="K546" s="43"/>
      <c r="L546" s="43"/>
      <c r="M546" s="10"/>
      <c r="N546" s="10"/>
      <c r="O546" s="10"/>
      <c r="P546" s="10"/>
    </row>
    <row r="547" spans="1:16" x14ac:dyDescent="0.25">
      <c r="A547" s="1"/>
      <c r="B547" s="10"/>
      <c r="C547" s="42"/>
      <c r="D547" s="43"/>
      <c r="E547" s="10"/>
      <c r="F547" s="42"/>
      <c r="G547" s="43"/>
      <c r="H547" s="10"/>
      <c r="I547" s="10"/>
      <c r="J547" s="42"/>
      <c r="K547" s="43"/>
      <c r="L547" s="43"/>
      <c r="M547" s="10"/>
      <c r="N547" s="10"/>
      <c r="O547" s="10"/>
      <c r="P547" s="10"/>
    </row>
    <row r="548" spans="1:16" x14ac:dyDescent="0.25">
      <c r="A548" s="1"/>
      <c r="B548" s="10"/>
      <c r="C548" s="42"/>
      <c r="D548" s="43"/>
      <c r="E548" s="10"/>
      <c r="F548" s="42"/>
      <c r="G548" s="43"/>
      <c r="H548" s="10"/>
      <c r="I548" s="10"/>
      <c r="J548" s="42"/>
      <c r="K548" s="43"/>
      <c r="L548" s="43"/>
      <c r="M548" s="10"/>
      <c r="N548" s="10"/>
      <c r="O548" s="10"/>
      <c r="P548" s="10"/>
    </row>
    <row r="549" spans="1:16" x14ac:dyDescent="0.25">
      <c r="A549" s="1"/>
      <c r="B549" s="10"/>
      <c r="C549" s="42"/>
      <c r="D549" s="43"/>
      <c r="E549" s="10"/>
      <c r="F549" s="42"/>
      <c r="G549" s="43"/>
      <c r="H549" s="10"/>
      <c r="I549" s="10"/>
      <c r="J549" s="42"/>
      <c r="K549" s="43"/>
      <c r="L549" s="43"/>
      <c r="M549" s="10"/>
      <c r="N549" s="10"/>
      <c r="O549" s="10"/>
      <c r="P549" s="10"/>
    </row>
    <row r="550" spans="1:16" x14ac:dyDescent="0.25">
      <c r="A550" s="1"/>
      <c r="B550" s="10"/>
      <c r="C550" s="42"/>
      <c r="D550" s="43"/>
      <c r="E550" s="10"/>
      <c r="F550" s="42"/>
      <c r="G550" s="43"/>
      <c r="H550" s="10"/>
      <c r="I550" s="10"/>
      <c r="J550" s="42"/>
      <c r="K550" s="43"/>
      <c r="L550" s="43"/>
      <c r="M550" s="10"/>
      <c r="N550" s="10"/>
      <c r="O550" s="10"/>
      <c r="P550" s="10"/>
    </row>
    <row r="551" spans="1:16" x14ac:dyDescent="0.25">
      <c r="A551" s="1"/>
      <c r="B551" s="10"/>
      <c r="C551" s="42"/>
      <c r="D551" s="43"/>
      <c r="E551" s="10"/>
      <c r="F551" s="42"/>
      <c r="G551" s="43"/>
      <c r="H551" s="10"/>
      <c r="I551" s="10"/>
      <c r="J551" s="42"/>
      <c r="K551" s="43"/>
      <c r="L551" s="43"/>
      <c r="M551" s="10"/>
      <c r="N551" s="10"/>
      <c r="O551" s="10"/>
      <c r="P551" s="10"/>
    </row>
    <row r="552" spans="1:16" x14ac:dyDescent="0.25">
      <c r="A552" s="1"/>
      <c r="B552" s="10"/>
      <c r="C552" s="42"/>
      <c r="D552" s="43"/>
      <c r="E552" s="10"/>
      <c r="F552" s="42"/>
      <c r="G552" s="43"/>
      <c r="H552" s="10"/>
      <c r="I552" s="10"/>
      <c r="J552" s="42"/>
      <c r="K552" s="43"/>
      <c r="L552" s="43"/>
      <c r="M552" s="10"/>
      <c r="N552" s="10"/>
      <c r="O552" s="10"/>
      <c r="P552" s="10"/>
    </row>
    <row r="553" spans="1:16" x14ac:dyDescent="0.25">
      <c r="A553" s="1"/>
      <c r="B553" s="10"/>
      <c r="C553" s="42"/>
      <c r="D553" s="43"/>
      <c r="E553" s="10"/>
      <c r="F553" s="42"/>
      <c r="G553" s="43"/>
      <c r="H553" s="10"/>
      <c r="I553" s="10"/>
      <c r="J553" s="42"/>
      <c r="K553" s="43"/>
      <c r="L553" s="43"/>
      <c r="M553" s="10"/>
      <c r="N553" s="10"/>
      <c r="O553" s="10"/>
      <c r="P553" s="10"/>
    </row>
    <row r="554" spans="1:16" x14ac:dyDescent="0.25">
      <c r="A554" s="1"/>
      <c r="B554" s="10"/>
      <c r="C554" s="42"/>
      <c r="D554" s="43"/>
      <c r="E554" s="10"/>
      <c r="F554" s="42"/>
      <c r="G554" s="43"/>
      <c r="H554" s="10"/>
      <c r="I554" s="10"/>
      <c r="J554" s="42"/>
      <c r="K554" s="43"/>
      <c r="L554" s="43"/>
      <c r="M554" s="10"/>
      <c r="N554" s="10"/>
      <c r="O554" s="10"/>
      <c r="P554" s="10"/>
    </row>
    <row r="555" spans="1:16" x14ac:dyDescent="0.25">
      <c r="A555" s="1"/>
      <c r="B555" s="10"/>
      <c r="C555" s="42"/>
      <c r="D555" s="43"/>
      <c r="E555" s="10"/>
      <c r="F555" s="42"/>
      <c r="G555" s="43"/>
      <c r="H555" s="10"/>
      <c r="I555" s="10"/>
      <c r="J555" s="42"/>
      <c r="K555" s="43"/>
      <c r="L555" s="43"/>
      <c r="M555" s="10"/>
      <c r="N555" s="10"/>
      <c r="O555" s="10"/>
      <c r="P555" s="10"/>
    </row>
    <row r="556" spans="1:16" x14ac:dyDescent="0.25">
      <c r="A556" s="1"/>
      <c r="B556" s="10"/>
      <c r="C556" s="42"/>
      <c r="D556" s="43"/>
      <c r="E556" s="10"/>
      <c r="F556" s="42"/>
      <c r="G556" s="43"/>
      <c r="H556" s="10"/>
      <c r="I556" s="10"/>
      <c r="J556" s="42"/>
      <c r="K556" s="43"/>
      <c r="L556" s="43"/>
      <c r="M556" s="10"/>
      <c r="N556" s="10"/>
      <c r="O556" s="10"/>
      <c r="P556" s="10"/>
    </row>
    <row r="557" spans="1:16" x14ac:dyDescent="0.25">
      <c r="A557" s="1"/>
      <c r="B557" s="10"/>
      <c r="C557" s="42"/>
      <c r="D557" s="43"/>
      <c r="E557" s="10"/>
      <c r="F557" s="42"/>
      <c r="G557" s="43"/>
      <c r="H557" s="10"/>
      <c r="I557" s="10"/>
      <c r="J557" s="42"/>
      <c r="K557" s="43"/>
      <c r="L557" s="43"/>
      <c r="M557" s="10"/>
      <c r="N557" s="10"/>
      <c r="O557" s="10"/>
      <c r="P557" s="10"/>
    </row>
    <row r="558" spans="1:16" x14ac:dyDescent="0.25">
      <c r="A558" s="1"/>
      <c r="B558" s="10"/>
      <c r="C558" s="42"/>
      <c r="D558" s="43"/>
      <c r="E558" s="10"/>
      <c r="F558" s="42"/>
      <c r="G558" s="43"/>
      <c r="H558" s="10"/>
      <c r="I558" s="10"/>
      <c r="J558" s="42"/>
      <c r="K558" s="43"/>
      <c r="L558" s="43"/>
      <c r="M558" s="10"/>
      <c r="N558" s="10"/>
      <c r="O558" s="10"/>
      <c r="P558" s="10"/>
    </row>
    <row r="559" spans="1:16" x14ac:dyDescent="0.25">
      <c r="A559" s="1"/>
      <c r="B559" s="10"/>
      <c r="C559" s="42"/>
      <c r="D559" s="43"/>
      <c r="E559" s="10"/>
      <c r="F559" s="42"/>
      <c r="G559" s="43"/>
      <c r="H559" s="10"/>
      <c r="I559" s="10"/>
      <c r="J559" s="42"/>
      <c r="K559" s="43"/>
      <c r="L559" s="43"/>
      <c r="M559" s="10"/>
      <c r="N559" s="10"/>
      <c r="O559" s="10"/>
      <c r="P559" s="10"/>
    </row>
    <row r="560" spans="1:16" x14ac:dyDescent="0.25">
      <c r="A560" s="1"/>
      <c r="B560" s="10"/>
      <c r="C560" s="42"/>
      <c r="D560" s="43"/>
      <c r="E560" s="10"/>
      <c r="F560" s="42"/>
      <c r="G560" s="43"/>
      <c r="H560" s="10"/>
      <c r="I560" s="10"/>
      <c r="J560" s="42"/>
      <c r="K560" s="43"/>
      <c r="L560" s="43"/>
      <c r="M560" s="10"/>
      <c r="N560" s="10"/>
      <c r="O560" s="10"/>
      <c r="P560" s="10"/>
    </row>
    <row r="561" spans="1:16" x14ac:dyDescent="0.25">
      <c r="A561" s="1"/>
      <c r="B561" s="10"/>
      <c r="C561" s="42"/>
      <c r="D561" s="43"/>
      <c r="E561" s="10"/>
      <c r="F561" s="42"/>
      <c r="G561" s="43"/>
      <c r="H561" s="10"/>
      <c r="I561" s="10"/>
      <c r="J561" s="42"/>
      <c r="K561" s="43"/>
      <c r="L561" s="43"/>
      <c r="M561" s="10"/>
      <c r="N561" s="10"/>
      <c r="O561" s="10"/>
      <c r="P561" s="10"/>
    </row>
    <row r="562" spans="1:16" x14ac:dyDescent="0.25">
      <c r="A562" s="1"/>
      <c r="B562" s="10"/>
      <c r="C562" s="42"/>
      <c r="D562" s="43"/>
      <c r="E562" s="10"/>
      <c r="F562" s="42"/>
      <c r="G562" s="43"/>
      <c r="H562" s="10"/>
      <c r="I562" s="10"/>
      <c r="J562" s="42"/>
      <c r="K562" s="43"/>
      <c r="L562" s="43"/>
      <c r="M562" s="10"/>
      <c r="N562" s="10"/>
      <c r="O562" s="10"/>
      <c r="P562" s="10"/>
    </row>
    <row r="563" spans="1:16" x14ac:dyDescent="0.25">
      <c r="A563" s="1"/>
      <c r="B563" s="10"/>
      <c r="C563" s="42"/>
      <c r="D563" s="43"/>
      <c r="E563" s="10"/>
      <c r="F563" s="42"/>
      <c r="G563" s="43"/>
      <c r="H563" s="10"/>
      <c r="I563" s="10"/>
      <c r="J563" s="42"/>
      <c r="K563" s="43"/>
      <c r="L563" s="43"/>
      <c r="M563" s="10"/>
      <c r="N563" s="10"/>
      <c r="O563" s="10"/>
      <c r="P563" s="10"/>
    </row>
    <row r="564" spans="1:16" x14ac:dyDescent="0.25">
      <c r="A564" s="1"/>
      <c r="B564" s="10"/>
      <c r="C564" s="42"/>
      <c r="D564" s="43"/>
      <c r="E564" s="10"/>
      <c r="F564" s="42"/>
      <c r="G564" s="43"/>
      <c r="H564" s="10"/>
      <c r="I564" s="10"/>
      <c r="J564" s="42"/>
      <c r="K564" s="43"/>
      <c r="L564" s="43"/>
      <c r="M564" s="10"/>
      <c r="N564" s="10"/>
      <c r="O564" s="10"/>
      <c r="P564" s="10"/>
    </row>
    <row r="565" spans="1:16" x14ac:dyDescent="0.25">
      <c r="A565" s="1"/>
      <c r="B565" s="10"/>
      <c r="C565" s="42"/>
      <c r="D565" s="43"/>
      <c r="E565" s="10"/>
      <c r="F565" s="42"/>
      <c r="G565" s="43"/>
      <c r="H565" s="10"/>
      <c r="I565" s="10"/>
      <c r="J565" s="42"/>
      <c r="K565" s="43"/>
      <c r="L565" s="43"/>
      <c r="M565" s="10"/>
      <c r="N565" s="10"/>
      <c r="O565" s="10"/>
      <c r="P565" s="10"/>
    </row>
    <row r="566" spans="1:16" x14ac:dyDescent="0.25">
      <c r="A566" s="1"/>
      <c r="B566" s="10"/>
      <c r="C566" s="42"/>
      <c r="D566" s="43"/>
      <c r="E566" s="10"/>
      <c r="F566" s="42"/>
      <c r="G566" s="43"/>
      <c r="H566" s="10"/>
      <c r="I566" s="10"/>
      <c r="J566" s="42"/>
      <c r="K566" s="43"/>
      <c r="L566" s="43"/>
      <c r="M566" s="10"/>
      <c r="N566" s="10"/>
      <c r="O566" s="10"/>
      <c r="P566" s="10"/>
    </row>
    <row r="567" spans="1:16" x14ac:dyDescent="0.25">
      <c r="A567" s="1"/>
      <c r="B567" s="10"/>
      <c r="C567" s="42"/>
      <c r="D567" s="43"/>
      <c r="E567" s="10"/>
      <c r="F567" s="42"/>
      <c r="G567" s="43"/>
      <c r="H567" s="10"/>
      <c r="I567" s="10"/>
      <c r="J567" s="42"/>
      <c r="K567" s="43"/>
      <c r="L567" s="43"/>
      <c r="M567" s="10"/>
      <c r="N567" s="10"/>
      <c r="O567" s="10"/>
      <c r="P567" s="10"/>
    </row>
    <row r="568" spans="1:16" x14ac:dyDescent="0.25">
      <c r="A568" s="1"/>
      <c r="B568" s="10"/>
      <c r="C568" s="42"/>
      <c r="D568" s="43"/>
      <c r="E568" s="10"/>
      <c r="F568" s="42"/>
      <c r="G568" s="43"/>
      <c r="H568" s="10"/>
      <c r="I568" s="10"/>
      <c r="J568" s="42"/>
      <c r="K568" s="43"/>
      <c r="L568" s="43"/>
      <c r="M568" s="10"/>
      <c r="N568" s="10"/>
      <c r="O568" s="10"/>
      <c r="P568" s="10"/>
    </row>
    <row r="569" spans="1:16" x14ac:dyDescent="0.25">
      <c r="A569" s="1"/>
      <c r="B569" s="10"/>
      <c r="C569" s="42"/>
      <c r="D569" s="43"/>
      <c r="E569" s="10"/>
      <c r="F569" s="42"/>
      <c r="G569" s="43"/>
      <c r="H569" s="10"/>
      <c r="I569" s="10"/>
      <c r="J569" s="42"/>
      <c r="K569" s="43"/>
      <c r="L569" s="43"/>
      <c r="M569" s="10"/>
      <c r="N569" s="10"/>
      <c r="O569" s="10"/>
      <c r="P569" s="10"/>
    </row>
    <row r="570" spans="1:16" x14ac:dyDescent="0.25">
      <c r="A570" s="1"/>
      <c r="B570" s="10"/>
      <c r="C570" s="42"/>
      <c r="D570" s="43"/>
      <c r="E570" s="10"/>
      <c r="F570" s="42"/>
      <c r="G570" s="43"/>
      <c r="H570" s="10"/>
      <c r="I570" s="10"/>
      <c r="J570" s="42"/>
      <c r="K570" s="43"/>
      <c r="L570" s="43"/>
      <c r="M570" s="10"/>
      <c r="N570" s="10"/>
      <c r="O570" s="10"/>
      <c r="P570" s="10"/>
    </row>
    <row r="571" spans="1:16" x14ac:dyDescent="0.25">
      <c r="A571" s="1"/>
      <c r="B571" s="10"/>
      <c r="C571" s="42"/>
      <c r="D571" s="43"/>
      <c r="E571" s="10"/>
      <c r="F571" s="42"/>
      <c r="G571" s="43"/>
      <c r="H571" s="10"/>
      <c r="I571" s="10"/>
      <c r="J571" s="42"/>
      <c r="K571" s="43"/>
      <c r="L571" s="43"/>
      <c r="M571" s="10"/>
      <c r="N571" s="10"/>
      <c r="O571" s="10"/>
      <c r="P571" s="10"/>
    </row>
    <row r="572" spans="1:16" x14ac:dyDescent="0.25">
      <c r="A572" s="1"/>
      <c r="B572" s="10"/>
      <c r="C572" s="42"/>
      <c r="D572" s="43"/>
      <c r="E572" s="10"/>
      <c r="F572" s="42"/>
      <c r="G572" s="43"/>
      <c r="H572" s="10"/>
      <c r="I572" s="10"/>
      <c r="J572" s="42"/>
      <c r="K572" s="43"/>
      <c r="L572" s="43"/>
      <c r="M572" s="10"/>
      <c r="N572" s="10"/>
      <c r="O572" s="10"/>
      <c r="P572" s="10"/>
    </row>
    <row r="573" spans="1:16" x14ac:dyDescent="0.25">
      <c r="A573" s="1"/>
      <c r="B573" s="10"/>
      <c r="C573" s="42"/>
      <c r="D573" s="43"/>
      <c r="E573" s="10"/>
      <c r="F573" s="42"/>
      <c r="G573" s="43"/>
      <c r="H573" s="10"/>
      <c r="I573" s="10"/>
      <c r="J573" s="42"/>
      <c r="K573" s="43"/>
      <c r="L573" s="43"/>
      <c r="M573" s="10"/>
      <c r="N573" s="10"/>
      <c r="O573" s="10"/>
      <c r="P573" s="10"/>
    </row>
    <row r="574" spans="1:16" x14ac:dyDescent="0.25">
      <c r="A574" s="1"/>
      <c r="B574" s="10"/>
      <c r="C574" s="42"/>
      <c r="D574" s="43"/>
      <c r="E574" s="10"/>
      <c r="F574" s="42"/>
      <c r="G574" s="43"/>
      <c r="H574" s="10"/>
      <c r="I574" s="10"/>
      <c r="J574" s="42"/>
      <c r="K574" s="43"/>
      <c r="L574" s="43"/>
      <c r="M574" s="10"/>
      <c r="N574" s="10"/>
      <c r="O574" s="10"/>
      <c r="P574" s="10"/>
    </row>
    <row r="575" spans="1:16" x14ac:dyDescent="0.25">
      <c r="A575" s="1"/>
      <c r="B575" s="10"/>
      <c r="C575" s="42"/>
      <c r="D575" s="43"/>
      <c r="E575" s="10"/>
      <c r="F575" s="42"/>
      <c r="G575" s="43"/>
      <c r="H575" s="10"/>
      <c r="I575" s="10"/>
      <c r="J575" s="42"/>
      <c r="K575" s="43"/>
      <c r="L575" s="43"/>
      <c r="M575" s="10"/>
      <c r="N575" s="10"/>
      <c r="O575" s="10"/>
      <c r="P575" s="10"/>
    </row>
    <row r="576" spans="1:16" x14ac:dyDescent="0.25">
      <c r="A576" s="1"/>
      <c r="B576" s="10"/>
      <c r="C576" s="42"/>
      <c r="D576" s="43"/>
      <c r="E576" s="10"/>
      <c r="F576" s="42"/>
      <c r="G576" s="43"/>
      <c r="H576" s="10"/>
      <c r="I576" s="10"/>
      <c r="J576" s="42"/>
      <c r="K576" s="43"/>
      <c r="L576" s="43"/>
      <c r="M576" s="10"/>
      <c r="N576" s="10"/>
      <c r="O576" s="10"/>
      <c r="P576" s="10"/>
    </row>
    <row r="577" spans="1:16" x14ac:dyDescent="0.25">
      <c r="A577" s="1"/>
      <c r="B577" s="10"/>
      <c r="C577" s="42"/>
      <c r="D577" s="43"/>
      <c r="E577" s="10"/>
      <c r="F577" s="42"/>
      <c r="G577" s="43"/>
      <c r="H577" s="10"/>
      <c r="I577" s="10"/>
      <c r="J577" s="42"/>
      <c r="K577" s="43"/>
      <c r="L577" s="43"/>
      <c r="M577" s="10"/>
      <c r="N577" s="10"/>
      <c r="O577" s="10"/>
      <c r="P577" s="10"/>
    </row>
    <row r="578" spans="1:16" x14ac:dyDescent="0.25">
      <c r="A578" s="1"/>
      <c r="B578" s="10"/>
      <c r="C578" s="42"/>
      <c r="D578" s="43"/>
      <c r="E578" s="10"/>
      <c r="F578" s="42"/>
      <c r="G578" s="43"/>
      <c r="H578" s="10"/>
      <c r="I578" s="10"/>
      <c r="J578" s="42"/>
      <c r="K578" s="43"/>
      <c r="L578" s="43"/>
      <c r="M578" s="10"/>
      <c r="N578" s="10"/>
      <c r="O578" s="10"/>
      <c r="P578" s="10"/>
    </row>
    <row r="579" spans="1:16" x14ac:dyDescent="0.25">
      <c r="A579" s="1"/>
      <c r="B579" s="10"/>
      <c r="C579" s="42"/>
      <c r="D579" s="43"/>
      <c r="E579" s="10"/>
      <c r="F579" s="42"/>
      <c r="G579" s="43"/>
      <c r="H579" s="10"/>
      <c r="I579" s="10"/>
      <c r="J579" s="42"/>
      <c r="K579" s="43"/>
      <c r="L579" s="43"/>
      <c r="M579" s="10"/>
      <c r="N579" s="10"/>
      <c r="O579" s="10"/>
      <c r="P579" s="10"/>
    </row>
    <row r="580" spans="1:16" x14ac:dyDescent="0.25">
      <c r="A580" s="1"/>
      <c r="B580" s="10"/>
      <c r="C580" s="42"/>
      <c r="D580" s="43"/>
      <c r="E580" s="10"/>
      <c r="F580" s="42"/>
      <c r="G580" s="43"/>
      <c r="H580" s="10"/>
      <c r="I580" s="10"/>
      <c r="J580" s="42"/>
      <c r="K580" s="43"/>
      <c r="L580" s="43"/>
      <c r="M580" s="10"/>
      <c r="N580" s="10"/>
      <c r="O580" s="10"/>
      <c r="P580" s="10"/>
    </row>
    <row r="581" spans="1:16" x14ac:dyDescent="0.25">
      <c r="A581" s="1"/>
      <c r="B581" s="10"/>
      <c r="C581" s="42"/>
      <c r="D581" s="43"/>
      <c r="E581" s="10"/>
      <c r="F581" s="42"/>
      <c r="G581" s="43"/>
      <c r="H581" s="10"/>
      <c r="I581" s="10"/>
      <c r="J581" s="42"/>
      <c r="K581" s="43"/>
      <c r="L581" s="43"/>
      <c r="M581" s="10"/>
      <c r="N581" s="10"/>
      <c r="O581" s="10"/>
      <c r="P581" s="10"/>
    </row>
    <row r="582" spans="1:16" x14ac:dyDescent="0.25">
      <c r="A582" s="1"/>
      <c r="B582" s="10"/>
      <c r="C582" s="42"/>
      <c r="D582" s="43"/>
      <c r="E582" s="10"/>
      <c r="F582" s="42"/>
      <c r="G582" s="43"/>
      <c r="H582" s="10"/>
      <c r="I582" s="10"/>
      <c r="J582" s="42"/>
      <c r="K582" s="43"/>
      <c r="L582" s="43"/>
      <c r="M582" s="10"/>
      <c r="N582" s="10"/>
      <c r="O582" s="10"/>
      <c r="P582" s="10"/>
    </row>
    <row r="583" spans="1:16" x14ac:dyDescent="0.25">
      <c r="A583" s="1"/>
      <c r="B583" s="10"/>
      <c r="C583" s="42"/>
      <c r="D583" s="43"/>
      <c r="E583" s="10"/>
      <c r="F583" s="42"/>
      <c r="G583" s="43"/>
      <c r="H583" s="10"/>
      <c r="I583" s="10"/>
      <c r="J583" s="42"/>
      <c r="K583" s="43"/>
      <c r="L583" s="43"/>
      <c r="M583" s="10"/>
      <c r="N583" s="10"/>
      <c r="O583" s="10"/>
      <c r="P583" s="10"/>
    </row>
    <row r="584" spans="1:16" x14ac:dyDescent="0.25">
      <c r="A584" s="1"/>
      <c r="B584" s="10"/>
      <c r="C584" s="42"/>
      <c r="D584" s="43"/>
      <c r="E584" s="10"/>
      <c r="F584" s="42"/>
      <c r="G584" s="43"/>
      <c r="H584" s="10"/>
      <c r="I584" s="10"/>
      <c r="J584" s="42"/>
      <c r="K584" s="43"/>
      <c r="L584" s="43"/>
      <c r="M584" s="10"/>
      <c r="N584" s="10"/>
      <c r="O584" s="10"/>
      <c r="P584" s="10"/>
    </row>
    <row r="585" spans="1:16" x14ac:dyDescent="0.25">
      <c r="A585" s="1"/>
      <c r="B585" s="10"/>
      <c r="C585" s="42"/>
      <c r="D585" s="43"/>
      <c r="E585" s="10"/>
      <c r="F585" s="42"/>
      <c r="G585" s="43"/>
      <c r="H585" s="10"/>
      <c r="I585" s="10"/>
      <c r="J585" s="42"/>
      <c r="K585" s="43"/>
      <c r="L585" s="43"/>
      <c r="M585" s="10"/>
      <c r="N585" s="10"/>
      <c r="O585" s="10"/>
      <c r="P585" s="10"/>
    </row>
    <row r="586" spans="1:16" x14ac:dyDescent="0.25">
      <c r="A586" s="1"/>
      <c r="B586" s="10"/>
      <c r="C586" s="42"/>
      <c r="D586" s="43"/>
      <c r="E586" s="10"/>
      <c r="F586" s="42"/>
      <c r="G586" s="43"/>
      <c r="H586" s="10"/>
      <c r="I586" s="10"/>
      <c r="J586" s="42"/>
      <c r="K586" s="43"/>
      <c r="L586" s="43"/>
      <c r="M586" s="10"/>
      <c r="N586" s="10"/>
      <c r="O586" s="10"/>
      <c r="P586" s="10"/>
    </row>
    <row r="587" spans="1:16" x14ac:dyDescent="0.25">
      <c r="A587" s="1"/>
      <c r="B587" s="10"/>
      <c r="C587" s="42"/>
      <c r="D587" s="43"/>
      <c r="E587" s="10"/>
      <c r="F587" s="42"/>
      <c r="G587" s="43"/>
      <c r="H587" s="10"/>
      <c r="I587" s="10"/>
      <c r="J587" s="42"/>
      <c r="K587" s="43"/>
      <c r="L587" s="43"/>
      <c r="M587" s="10"/>
      <c r="N587" s="10"/>
      <c r="O587" s="10"/>
      <c r="P587" s="10"/>
    </row>
    <row r="588" spans="1:16" x14ac:dyDescent="0.25">
      <c r="A588" s="1"/>
      <c r="B588" s="10"/>
      <c r="C588" s="42"/>
      <c r="D588" s="43"/>
      <c r="E588" s="10"/>
      <c r="F588" s="42"/>
      <c r="G588" s="43"/>
      <c r="H588" s="10"/>
      <c r="I588" s="10"/>
      <c r="J588" s="42"/>
      <c r="K588" s="43"/>
      <c r="L588" s="43"/>
      <c r="M588" s="10"/>
      <c r="N588" s="10"/>
      <c r="O588" s="10"/>
      <c r="P588" s="10"/>
    </row>
    <row r="589" spans="1:16" x14ac:dyDescent="0.25">
      <c r="A589" s="1"/>
      <c r="B589" s="10"/>
      <c r="C589" s="42"/>
      <c r="D589" s="43"/>
      <c r="E589" s="10"/>
      <c r="F589" s="42"/>
      <c r="G589" s="43"/>
      <c r="H589" s="10"/>
      <c r="I589" s="10"/>
      <c r="J589" s="42"/>
      <c r="K589" s="43"/>
      <c r="L589" s="43"/>
      <c r="M589" s="10"/>
      <c r="N589" s="10"/>
      <c r="O589" s="10"/>
      <c r="P589" s="10"/>
    </row>
    <row r="590" spans="1:16" x14ac:dyDescent="0.25">
      <c r="A590" s="1"/>
      <c r="B590" s="10"/>
      <c r="C590" s="42"/>
      <c r="D590" s="43"/>
      <c r="E590" s="10"/>
      <c r="F590" s="42"/>
      <c r="G590" s="43"/>
      <c r="H590" s="10"/>
      <c r="I590" s="10"/>
      <c r="J590" s="42"/>
      <c r="K590" s="43"/>
      <c r="L590" s="43"/>
      <c r="M590" s="10"/>
      <c r="N590" s="10"/>
      <c r="O590" s="10"/>
      <c r="P590" s="10"/>
    </row>
    <row r="591" spans="1:16" x14ac:dyDescent="0.25">
      <c r="A591" s="1"/>
      <c r="B591" s="10"/>
      <c r="C591" s="42"/>
      <c r="D591" s="43"/>
      <c r="E591" s="10"/>
      <c r="F591" s="42"/>
      <c r="G591" s="43"/>
      <c r="H591" s="10"/>
      <c r="I591" s="10"/>
      <c r="J591" s="42"/>
      <c r="K591" s="43"/>
      <c r="L591" s="43"/>
      <c r="M591" s="10"/>
      <c r="N591" s="10"/>
      <c r="O591" s="10"/>
      <c r="P591" s="10"/>
    </row>
    <row r="592" spans="1:16" x14ac:dyDescent="0.25">
      <c r="A592" s="1"/>
      <c r="B592" s="10"/>
      <c r="C592" s="42"/>
      <c r="D592" s="43"/>
      <c r="E592" s="10"/>
      <c r="F592" s="42"/>
      <c r="G592" s="43"/>
      <c r="H592" s="10"/>
      <c r="I592" s="10"/>
      <c r="J592" s="42"/>
      <c r="K592" s="43"/>
      <c r="L592" s="43"/>
      <c r="M592" s="10"/>
      <c r="N592" s="10"/>
      <c r="O592" s="10"/>
      <c r="P592" s="10"/>
    </row>
    <row r="593" spans="1:16" x14ac:dyDescent="0.25">
      <c r="A593" s="1"/>
      <c r="B593" s="10"/>
      <c r="C593" s="42"/>
      <c r="D593" s="43"/>
      <c r="E593" s="10"/>
      <c r="F593" s="42"/>
      <c r="G593" s="43"/>
      <c r="H593" s="10"/>
      <c r="I593" s="10"/>
      <c r="J593" s="42"/>
      <c r="K593" s="43"/>
      <c r="L593" s="43"/>
      <c r="M593" s="10"/>
      <c r="N593" s="10"/>
      <c r="O593" s="10"/>
      <c r="P593" s="10"/>
    </row>
    <row r="594" spans="1:16" x14ac:dyDescent="0.25">
      <c r="A594" s="1"/>
      <c r="B594" s="10"/>
      <c r="C594" s="42"/>
      <c r="D594" s="43"/>
      <c r="E594" s="10"/>
      <c r="F594" s="42"/>
      <c r="G594" s="43"/>
      <c r="H594" s="10"/>
      <c r="I594" s="10"/>
      <c r="J594" s="42"/>
      <c r="K594" s="43"/>
      <c r="L594" s="43"/>
      <c r="M594" s="10"/>
      <c r="N594" s="10"/>
      <c r="O594" s="10"/>
      <c r="P594" s="10"/>
    </row>
    <row r="595" spans="1:16" x14ac:dyDescent="0.25">
      <c r="A595" s="1"/>
      <c r="B595" s="10"/>
      <c r="C595" s="42"/>
      <c r="D595" s="43"/>
      <c r="E595" s="10"/>
      <c r="F595" s="42"/>
      <c r="G595" s="43"/>
      <c r="H595" s="10"/>
      <c r="I595" s="10"/>
      <c r="J595" s="42"/>
      <c r="K595" s="43"/>
      <c r="L595" s="43"/>
      <c r="M595" s="10"/>
      <c r="N595" s="10"/>
      <c r="O595" s="10"/>
      <c r="P595" s="10"/>
    </row>
    <row r="596" spans="1:16" x14ac:dyDescent="0.25">
      <c r="A596" s="1"/>
      <c r="B596" s="10"/>
      <c r="C596" s="42"/>
      <c r="D596" s="43"/>
      <c r="E596" s="10"/>
      <c r="F596" s="42"/>
      <c r="G596" s="43"/>
      <c r="H596" s="10"/>
      <c r="I596" s="10"/>
      <c r="J596" s="42"/>
      <c r="K596" s="43"/>
      <c r="L596" s="43"/>
      <c r="M596" s="10"/>
      <c r="N596" s="10"/>
      <c r="O596" s="10"/>
      <c r="P596" s="10"/>
    </row>
    <row r="597" spans="1:16" x14ac:dyDescent="0.25">
      <c r="A597" s="1"/>
      <c r="B597" s="10"/>
      <c r="C597" s="42"/>
      <c r="D597" s="43"/>
      <c r="E597" s="10"/>
      <c r="F597" s="42"/>
      <c r="G597" s="43"/>
      <c r="H597" s="10"/>
      <c r="I597" s="10"/>
      <c r="J597" s="42"/>
      <c r="K597" s="43"/>
      <c r="L597" s="43"/>
      <c r="M597" s="10"/>
      <c r="N597" s="10"/>
      <c r="O597" s="10"/>
      <c r="P597" s="10"/>
    </row>
    <row r="598" spans="1:16" x14ac:dyDescent="0.25">
      <c r="A598" s="1"/>
      <c r="B598" s="10"/>
      <c r="C598" s="42"/>
      <c r="D598" s="43"/>
      <c r="E598" s="10"/>
      <c r="F598" s="42"/>
      <c r="G598" s="43"/>
      <c r="H598" s="10"/>
      <c r="I598" s="10"/>
      <c r="J598" s="42"/>
      <c r="K598" s="43"/>
      <c r="L598" s="43"/>
      <c r="M598" s="10"/>
      <c r="N598" s="10"/>
      <c r="O598" s="10"/>
      <c r="P598" s="10"/>
    </row>
    <row r="599" spans="1:16" x14ac:dyDescent="0.25">
      <c r="A599" s="1"/>
      <c r="B599" s="10"/>
      <c r="C599" s="42"/>
      <c r="D599" s="43"/>
      <c r="E599" s="10"/>
      <c r="F599" s="42"/>
      <c r="G599" s="43"/>
      <c r="H599" s="10"/>
      <c r="I599" s="10"/>
      <c r="J599" s="42"/>
      <c r="K599" s="43"/>
      <c r="L599" s="43"/>
      <c r="M599" s="10"/>
      <c r="N599" s="10"/>
      <c r="O599" s="10"/>
      <c r="P599" s="10"/>
    </row>
    <row r="600" spans="1:16" x14ac:dyDescent="0.25">
      <c r="A600" s="1"/>
      <c r="B600" s="10"/>
      <c r="C600" s="42"/>
      <c r="D600" s="43"/>
      <c r="E600" s="10"/>
      <c r="F600" s="42"/>
      <c r="G600" s="43"/>
      <c r="H600" s="10"/>
      <c r="I600" s="10"/>
      <c r="J600" s="42"/>
      <c r="K600" s="43"/>
      <c r="L600" s="43"/>
      <c r="M600" s="10"/>
      <c r="N600" s="10"/>
      <c r="O600" s="10"/>
      <c r="P600" s="10"/>
    </row>
    <row r="601" spans="1:16" x14ac:dyDescent="0.25">
      <c r="A601" s="1"/>
      <c r="B601" s="10"/>
      <c r="C601" s="42"/>
      <c r="D601" s="43"/>
      <c r="E601" s="10"/>
      <c r="F601" s="42"/>
      <c r="G601" s="43"/>
      <c r="H601" s="10"/>
      <c r="I601" s="10"/>
      <c r="J601" s="42"/>
      <c r="K601" s="43"/>
      <c r="L601" s="43"/>
      <c r="M601" s="10"/>
      <c r="N601" s="10"/>
      <c r="O601" s="10"/>
      <c r="P601" s="10"/>
    </row>
    <row r="602" spans="1:16" x14ac:dyDescent="0.25">
      <c r="A602" s="1"/>
      <c r="B602" s="10"/>
      <c r="C602" s="42"/>
      <c r="D602" s="43"/>
      <c r="E602" s="10"/>
      <c r="F602" s="42"/>
      <c r="G602" s="43"/>
      <c r="H602" s="10"/>
      <c r="I602" s="10"/>
      <c r="J602" s="42"/>
      <c r="K602" s="43"/>
      <c r="L602" s="43"/>
      <c r="M602" s="10"/>
      <c r="N602" s="10"/>
      <c r="O602" s="10"/>
      <c r="P602" s="10"/>
    </row>
    <row r="603" spans="1:16" x14ac:dyDescent="0.25">
      <c r="A603" s="1"/>
      <c r="B603" s="10"/>
      <c r="C603" s="42"/>
      <c r="D603" s="43"/>
      <c r="E603" s="10"/>
      <c r="F603" s="42"/>
      <c r="G603" s="43"/>
      <c r="H603" s="10"/>
      <c r="I603" s="10"/>
      <c r="J603" s="42"/>
      <c r="K603" s="43"/>
      <c r="L603" s="43"/>
      <c r="M603" s="10"/>
      <c r="N603" s="10"/>
      <c r="O603" s="10"/>
      <c r="P603" s="10"/>
    </row>
    <row r="604" spans="1:16" x14ac:dyDescent="0.25">
      <c r="A604" s="1"/>
      <c r="B604" s="10"/>
      <c r="C604" s="42"/>
      <c r="D604" s="43"/>
      <c r="E604" s="10"/>
      <c r="F604" s="42"/>
      <c r="G604" s="43"/>
      <c r="H604" s="10"/>
      <c r="I604" s="10"/>
      <c r="J604" s="42"/>
      <c r="K604" s="43"/>
      <c r="L604" s="43"/>
      <c r="M604" s="10"/>
      <c r="N604" s="10"/>
      <c r="O604" s="10"/>
      <c r="P604" s="10"/>
    </row>
    <row r="605" spans="1:16" x14ac:dyDescent="0.25">
      <c r="A605" s="1"/>
      <c r="B605" s="10"/>
      <c r="C605" s="42"/>
      <c r="D605" s="43"/>
      <c r="E605" s="10"/>
      <c r="F605" s="42"/>
      <c r="G605" s="43"/>
      <c r="H605" s="10"/>
      <c r="I605" s="10"/>
      <c r="J605" s="42"/>
      <c r="K605" s="43"/>
      <c r="L605" s="43"/>
      <c r="M605" s="10"/>
      <c r="N605" s="10"/>
      <c r="O605" s="10"/>
      <c r="P605" s="10"/>
    </row>
    <row r="606" spans="1:16" x14ac:dyDescent="0.25">
      <c r="A606" s="1"/>
      <c r="B606" s="10"/>
      <c r="C606" s="42"/>
      <c r="D606" s="43"/>
      <c r="E606" s="10"/>
      <c r="F606" s="42"/>
      <c r="G606" s="43"/>
      <c r="H606" s="10"/>
      <c r="I606" s="10"/>
      <c r="J606" s="42"/>
      <c r="K606" s="43"/>
      <c r="L606" s="43"/>
      <c r="M606" s="10"/>
      <c r="N606" s="10"/>
      <c r="O606" s="10"/>
      <c r="P606" s="10"/>
    </row>
    <row r="607" spans="1:16" x14ac:dyDescent="0.25">
      <c r="A607" s="1"/>
      <c r="B607" s="10"/>
      <c r="C607" s="42"/>
      <c r="D607" s="43"/>
      <c r="E607" s="10"/>
      <c r="F607" s="42"/>
      <c r="G607" s="43"/>
      <c r="H607" s="10"/>
      <c r="I607" s="10"/>
      <c r="J607" s="42"/>
      <c r="K607" s="43"/>
      <c r="L607" s="43"/>
      <c r="M607" s="10"/>
      <c r="N607" s="10"/>
      <c r="O607" s="10"/>
      <c r="P607" s="10"/>
    </row>
    <row r="608" spans="1:16" x14ac:dyDescent="0.25">
      <c r="A608" s="1"/>
      <c r="B608" s="10"/>
      <c r="C608" s="42"/>
      <c r="D608" s="43"/>
      <c r="E608" s="10"/>
      <c r="F608" s="42"/>
      <c r="G608" s="43"/>
      <c r="H608" s="10"/>
      <c r="I608" s="10"/>
      <c r="J608" s="42"/>
      <c r="K608" s="43"/>
      <c r="L608" s="43"/>
      <c r="M608" s="10"/>
      <c r="N608" s="10"/>
      <c r="O608" s="10"/>
      <c r="P608" s="10"/>
    </row>
    <row r="609" spans="1:16" x14ac:dyDescent="0.25">
      <c r="A609" s="1"/>
      <c r="B609" s="10"/>
      <c r="C609" s="42"/>
      <c r="D609" s="43"/>
      <c r="E609" s="10"/>
      <c r="F609" s="42"/>
      <c r="G609" s="43"/>
      <c r="H609" s="10"/>
      <c r="I609" s="10"/>
      <c r="J609" s="42"/>
      <c r="K609" s="43"/>
      <c r="L609" s="43"/>
      <c r="M609" s="10"/>
      <c r="N609" s="10"/>
      <c r="O609" s="10"/>
      <c r="P609" s="10"/>
    </row>
    <row r="610" spans="1:16" x14ac:dyDescent="0.25">
      <c r="A610" s="1"/>
      <c r="B610" s="10"/>
      <c r="C610" s="42"/>
      <c r="D610" s="43"/>
      <c r="E610" s="10"/>
      <c r="F610" s="42"/>
      <c r="G610" s="43"/>
      <c r="H610" s="10"/>
      <c r="I610" s="10"/>
      <c r="J610" s="42"/>
      <c r="K610" s="43"/>
      <c r="L610" s="43"/>
      <c r="M610" s="10"/>
      <c r="N610" s="10"/>
      <c r="O610" s="10"/>
      <c r="P610" s="10"/>
    </row>
    <row r="611" spans="1:16" x14ac:dyDescent="0.25">
      <c r="A611" s="1"/>
      <c r="B611" s="10"/>
      <c r="C611" s="42"/>
      <c r="D611" s="43"/>
      <c r="E611" s="10"/>
      <c r="F611" s="42"/>
      <c r="G611" s="43"/>
      <c r="H611" s="10"/>
      <c r="I611" s="10"/>
      <c r="J611" s="42"/>
      <c r="K611" s="43"/>
      <c r="L611" s="43"/>
      <c r="M611" s="10"/>
      <c r="N611" s="10"/>
      <c r="O611" s="10"/>
      <c r="P611" s="10"/>
    </row>
    <row r="612" spans="1:16" x14ac:dyDescent="0.25">
      <c r="A612" s="1"/>
      <c r="B612" s="10"/>
      <c r="C612" s="42"/>
      <c r="D612" s="43"/>
      <c r="E612" s="10"/>
      <c r="F612" s="42"/>
      <c r="G612" s="43"/>
      <c r="H612" s="10"/>
      <c r="I612" s="10"/>
      <c r="J612" s="42"/>
      <c r="K612" s="43"/>
      <c r="L612" s="43"/>
      <c r="M612" s="10"/>
      <c r="N612" s="10"/>
      <c r="O612" s="10"/>
      <c r="P612" s="10"/>
    </row>
    <row r="613" spans="1:16" x14ac:dyDescent="0.25">
      <c r="A613" s="1"/>
      <c r="B613" s="10"/>
      <c r="C613" s="42"/>
      <c r="D613" s="43"/>
      <c r="E613" s="10"/>
      <c r="F613" s="42"/>
      <c r="G613" s="43"/>
      <c r="H613" s="10"/>
      <c r="I613" s="10"/>
      <c r="J613" s="42"/>
      <c r="K613" s="43"/>
      <c r="L613" s="43"/>
      <c r="M613" s="10"/>
      <c r="N613" s="10"/>
      <c r="O613" s="10"/>
      <c r="P613" s="10"/>
    </row>
    <row r="614" spans="1:16" x14ac:dyDescent="0.25">
      <c r="A614" s="1"/>
      <c r="B614" s="10"/>
      <c r="C614" s="42"/>
      <c r="D614" s="43"/>
      <c r="E614" s="10"/>
      <c r="F614" s="42"/>
      <c r="G614" s="43"/>
      <c r="H614" s="10"/>
      <c r="I614" s="10"/>
      <c r="J614" s="42"/>
      <c r="K614" s="43"/>
      <c r="L614" s="43"/>
      <c r="M614" s="10"/>
      <c r="N614" s="10"/>
      <c r="O614" s="10"/>
      <c r="P614" s="10"/>
    </row>
    <row r="615" spans="1:16" x14ac:dyDescent="0.25">
      <c r="A615" s="1"/>
      <c r="B615" s="10"/>
      <c r="C615" s="42"/>
      <c r="D615" s="43"/>
      <c r="E615" s="10"/>
      <c r="F615" s="42"/>
      <c r="G615" s="43"/>
      <c r="H615" s="10"/>
      <c r="I615" s="10"/>
      <c r="J615" s="42"/>
      <c r="K615" s="43"/>
      <c r="L615" s="43"/>
      <c r="M615" s="10"/>
      <c r="N615" s="10"/>
      <c r="O615" s="10"/>
      <c r="P615" s="10"/>
    </row>
    <row r="616" spans="1:16" x14ac:dyDescent="0.25">
      <c r="A616" s="1"/>
      <c r="B616" s="10"/>
      <c r="C616" s="42"/>
      <c r="D616" s="43"/>
      <c r="E616" s="10"/>
      <c r="F616" s="42"/>
      <c r="G616" s="43"/>
      <c r="H616" s="10"/>
      <c r="I616" s="10"/>
      <c r="J616" s="42"/>
      <c r="K616" s="43"/>
      <c r="L616" s="43"/>
      <c r="M616" s="10"/>
      <c r="N616" s="10"/>
      <c r="O616" s="10"/>
      <c r="P616" s="10"/>
    </row>
    <row r="617" spans="1:16" x14ac:dyDescent="0.25">
      <c r="A617" s="1"/>
      <c r="B617" s="10"/>
      <c r="C617" s="42"/>
      <c r="D617" s="43"/>
      <c r="E617" s="10"/>
      <c r="F617" s="42"/>
      <c r="G617" s="43"/>
      <c r="H617" s="10"/>
      <c r="I617" s="10"/>
      <c r="J617" s="42"/>
      <c r="K617" s="43"/>
      <c r="L617" s="43"/>
      <c r="M617" s="10"/>
      <c r="N617" s="10"/>
      <c r="O617" s="10"/>
      <c r="P617" s="10"/>
    </row>
    <row r="618" spans="1:16" x14ac:dyDescent="0.25">
      <c r="A618" s="1"/>
      <c r="B618" s="10"/>
      <c r="C618" s="42"/>
      <c r="D618" s="43"/>
      <c r="E618" s="10"/>
      <c r="F618" s="42"/>
      <c r="G618" s="43"/>
      <c r="H618" s="10"/>
      <c r="I618" s="10"/>
      <c r="J618" s="42"/>
      <c r="K618" s="43"/>
      <c r="L618" s="43"/>
      <c r="M618" s="10"/>
      <c r="N618" s="10"/>
      <c r="O618" s="10"/>
      <c r="P618" s="10"/>
    </row>
    <row r="619" spans="1:16" x14ac:dyDescent="0.25">
      <c r="A619" s="1"/>
      <c r="B619" s="10"/>
      <c r="C619" s="42"/>
      <c r="D619" s="43"/>
      <c r="E619" s="10"/>
      <c r="F619" s="42"/>
      <c r="G619" s="43"/>
      <c r="H619" s="10"/>
      <c r="I619" s="10"/>
      <c r="J619" s="42"/>
      <c r="K619" s="43"/>
      <c r="L619" s="43"/>
      <c r="M619" s="10"/>
      <c r="N619" s="10"/>
      <c r="O619" s="10"/>
      <c r="P619" s="10"/>
    </row>
    <row r="620" spans="1:16" x14ac:dyDescent="0.25">
      <c r="A620" s="1"/>
      <c r="B620" s="10"/>
      <c r="C620" s="42"/>
      <c r="D620" s="43"/>
      <c r="E620" s="10"/>
      <c r="F620" s="42"/>
      <c r="G620" s="43"/>
      <c r="H620" s="10"/>
      <c r="I620" s="10"/>
      <c r="J620" s="42"/>
      <c r="K620" s="43"/>
      <c r="L620" s="43"/>
      <c r="M620" s="10"/>
      <c r="N620" s="10"/>
      <c r="O620" s="10"/>
      <c r="P620" s="10"/>
    </row>
    <row r="621" spans="1:16" x14ac:dyDescent="0.25">
      <c r="A621" s="1"/>
      <c r="B621" s="10"/>
      <c r="C621" s="42"/>
      <c r="D621" s="43"/>
      <c r="E621" s="10"/>
      <c r="F621" s="42"/>
      <c r="G621" s="43"/>
      <c r="H621" s="10"/>
      <c r="I621" s="10"/>
      <c r="J621" s="42"/>
      <c r="K621" s="43"/>
      <c r="L621" s="43"/>
      <c r="M621" s="10"/>
      <c r="N621" s="10"/>
      <c r="O621" s="10"/>
      <c r="P621" s="10"/>
    </row>
    <row r="622" spans="1:16" x14ac:dyDescent="0.25">
      <c r="A622" s="1"/>
      <c r="B622" s="10"/>
      <c r="C622" s="42"/>
      <c r="D622" s="43"/>
      <c r="E622" s="10"/>
      <c r="F622" s="42"/>
      <c r="G622" s="43"/>
      <c r="H622" s="10"/>
      <c r="I622" s="10"/>
      <c r="J622" s="42"/>
      <c r="K622" s="43"/>
      <c r="L622" s="43"/>
      <c r="M622" s="10"/>
      <c r="N622" s="10"/>
      <c r="O622" s="10"/>
      <c r="P622" s="10"/>
    </row>
    <row r="623" spans="1:16" x14ac:dyDescent="0.25">
      <c r="A623" s="1"/>
      <c r="B623" s="10"/>
      <c r="C623" s="42"/>
      <c r="D623" s="43"/>
      <c r="E623" s="10"/>
      <c r="F623" s="42"/>
      <c r="G623" s="43"/>
      <c r="H623" s="10"/>
      <c r="I623" s="10"/>
      <c r="J623" s="42"/>
      <c r="K623" s="43"/>
      <c r="L623" s="43"/>
      <c r="M623" s="10"/>
      <c r="N623" s="10"/>
      <c r="O623" s="10"/>
      <c r="P623" s="10"/>
    </row>
    <row r="624" spans="1:16" x14ac:dyDescent="0.25">
      <c r="A624" s="1"/>
      <c r="B624" s="10"/>
      <c r="C624" s="42"/>
      <c r="D624" s="43"/>
      <c r="E624" s="10"/>
      <c r="F624" s="42"/>
      <c r="G624" s="43"/>
      <c r="H624" s="10"/>
      <c r="I624" s="10"/>
      <c r="J624" s="42"/>
      <c r="K624" s="43"/>
      <c r="L624" s="43"/>
      <c r="M624" s="10"/>
      <c r="N624" s="10"/>
      <c r="O624" s="10"/>
      <c r="P624" s="10"/>
    </row>
    <row r="625" spans="1:16" x14ac:dyDescent="0.25">
      <c r="A625" s="1"/>
      <c r="B625" s="10"/>
      <c r="C625" s="42"/>
      <c r="D625" s="43"/>
      <c r="E625" s="10"/>
      <c r="F625" s="42"/>
      <c r="G625" s="43"/>
      <c r="H625" s="10"/>
      <c r="I625" s="10"/>
      <c r="J625" s="42"/>
      <c r="K625" s="43"/>
      <c r="L625" s="43"/>
      <c r="M625" s="10"/>
      <c r="N625" s="10"/>
      <c r="O625" s="10"/>
      <c r="P625" s="10"/>
    </row>
    <row r="626" spans="1:16" x14ac:dyDescent="0.25">
      <c r="A626" s="1"/>
      <c r="B626" s="10"/>
      <c r="C626" s="42"/>
      <c r="D626" s="43"/>
      <c r="E626" s="10"/>
      <c r="F626" s="42"/>
      <c r="G626" s="43"/>
      <c r="H626" s="10"/>
      <c r="I626" s="10"/>
      <c r="J626" s="42"/>
      <c r="K626" s="43"/>
      <c r="L626" s="43"/>
      <c r="M626" s="10"/>
      <c r="N626" s="10"/>
      <c r="O626" s="10"/>
      <c r="P626" s="10"/>
    </row>
    <row r="627" spans="1:16" x14ac:dyDescent="0.25">
      <c r="A627" s="1"/>
      <c r="B627" s="10"/>
      <c r="C627" s="42"/>
      <c r="D627" s="43"/>
      <c r="E627" s="10"/>
      <c r="F627" s="42"/>
      <c r="G627" s="43"/>
      <c r="H627" s="10"/>
      <c r="I627" s="10"/>
      <c r="J627" s="42"/>
      <c r="K627" s="43"/>
      <c r="L627" s="43"/>
      <c r="M627" s="10"/>
      <c r="N627" s="10"/>
      <c r="O627" s="10"/>
      <c r="P627" s="10"/>
    </row>
    <row r="628" spans="1:16" x14ac:dyDescent="0.25">
      <c r="A628" s="1"/>
      <c r="B628" s="10"/>
      <c r="C628" s="42"/>
      <c r="D628" s="43"/>
      <c r="E628" s="10"/>
      <c r="F628" s="42"/>
      <c r="G628" s="43"/>
      <c r="H628" s="10"/>
      <c r="I628" s="10"/>
      <c r="J628" s="42"/>
      <c r="K628" s="43"/>
      <c r="L628" s="43"/>
      <c r="M628" s="10"/>
      <c r="N628" s="10"/>
      <c r="O628" s="10"/>
      <c r="P628" s="10"/>
    </row>
    <row r="629" spans="1:16" x14ac:dyDescent="0.25">
      <c r="A629" s="1"/>
      <c r="B629" s="10"/>
      <c r="C629" s="42"/>
      <c r="D629" s="43"/>
      <c r="E629" s="10"/>
      <c r="F629" s="42"/>
      <c r="G629" s="43"/>
      <c r="H629" s="10"/>
      <c r="I629" s="10"/>
      <c r="J629" s="42"/>
      <c r="K629" s="43"/>
      <c r="L629" s="43"/>
      <c r="M629" s="10"/>
      <c r="N629" s="10"/>
      <c r="O629" s="10"/>
      <c r="P629" s="10"/>
    </row>
    <row r="630" spans="1:16" x14ac:dyDescent="0.25">
      <c r="A630" s="1"/>
      <c r="B630" s="10"/>
      <c r="C630" s="42"/>
      <c r="D630" s="43"/>
      <c r="E630" s="10"/>
      <c r="F630" s="42"/>
      <c r="G630" s="43"/>
      <c r="H630" s="10"/>
      <c r="I630" s="10"/>
      <c r="J630" s="42"/>
      <c r="K630" s="43"/>
      <c r="L630" s="43"/>
      <c r="M630" s="10"/>
      <c r="N630" s="10"/>
      <c r="O630" s="10"/>
      <c r="P630" s="10"/>
    </row>
    <row r="631" spans="1:16" x14ac:dyDescent="0.25">
      <c r="A631" s="1"/>
      <c r="B631" s="10"/>
      <c r="C631" s="42"/>
      <c r="D631" s="43"/>
      <c r="E631" s="10"/>
      <c r="F631" s="42"/>
      <c r="G631" s="43"/>
      <c r="H631" s="10"/>
      <c r="I631" s="10"/>
      <c r="J631" s="42"/>
      <c r="K631" s="43"/>
      <c r="L631" s="43"/>
      <c r="M631" s="10"/>
      <c r="N631" s="10"/>
      <c r="O631" s="10"/>
      <c r="P631" s="10"/>
    </row>
    <row r="632" spans="1:16" x14ac:dyDescent="0.25">
      <c r="A632" s="1"/>
      <c r="B632" s="10"/>
      <c r="C632" s="42"/>
      <c r="D632" s="43"/>
      <c r="E632" s="10"/>
      <c r="F632" s="42"/>
      <c r="G632" s="43"/>
      <c r="H632" s="10"/>
      <c r="I632" s="10"/>
      <c r="J632" s="42"/>
      <c r="K632" s="43"/>
      <c r="L632" s="43"/>
      <c r="M632" s="10"/>
      <c r="N632" s="10"/>
      <c r="O632" s="10"/>
      <c r="P632" s="10"/>
    </row>
    <row r="633" spans="1:16" x14ac:dyDescent="0.25">
      <c r="A633" s="1"/>
      <c r="B633" s="10"/>
      <c r="C633" s="42"/>
      <c r="D633" s="43"/>
      <c r="E633" s="10"/>
      <c r="F633" s="42"/>
      <c r="G633" s="43"/>
      <c r="H633" s="10"/>
      <c r="I633" s="10"/>
      <c r="J633" s="42"/>
      <c r="K633" s="43"/>
      <c r="L633" s="43"/>
      <c r="M633" s="10"/>
      <c r="N633" s="10"/>
      <c r="O633" s="10"/>
      <c r="P633" s="10"/>
    </row>
    <row r="634" spans="1:16" x14ac:dyDescent="0.25">
      <c r="A634" s="1"/>
      <c r="B634" s="10"/>
      <c r="C634" s="42"/>
      <c r="D634" s="43"/>
      <c r="E634" s="10"/>
      <c r="F634" s="42"/>
      <c r="G634" s="43"/>
      <c r="H634" s="10"/>
      <c r="I634" s="10"/>
      <c r="J634" s="42"/>
      <c r="K634" s="43"/>
      <c r="L634" s="43"/>
      <c r="M634" s="10"/>
      <c r="N634" s="10"/>
      <c r="O634" s="10"/>
      <c r="P634" s="10"/>
    </row>
    <row r="635" spans="1:16" x14ac:dyDescent="0.25">
      <c r="A635" s="1"/>
      <c r="B635" s="10"/>
      <c r="C635" s="42"/>
      <c r="D635" s="43"/>
      <c r="E635" s="10"/>
      <c r="F635" s="42"/>
      <c r="G635" s="43"/>
      <c r="H635" s="10"/>
      <c r="I635" s="10"/>
      <c r="J635" s="42"/>
      <c r="K635" s="43"/>
      <c r="L635" s="43"/>
      <c r="M635" s="10"/>
      <c r="N635" s="10"/>
      <c r="O635" s="10"/>
      <c r="P635" s="10"/>
    </row>
    <row r="636" spans="1:16" x14ac:dyDescent="0.25">
      <c r="A636" s="1"/>
      <c r="B636" s="10"/>
      <c r="C636" s="42"/>
      <c r="D636" s="43"/>
      <c r="E636" s="10"/>
      <c r="F636" s="42"/>
      <c r="G636" s="43"/>
      <c r="H636" s="10"/>
      <c r="I636" s="10"/>
      <c r="J636" s="42"/>
      <c r="K636" s="43"/>
      <c r="L636" s="43"/>
      <c r="M636" s="10"/>
      <c r="N636" s="10"/>
      <c r="O636" s="10"/>
      <c r="P636" s="10"/>
    </row>
    <row r="637" spans="1:16" x14ac:dyDescent="0.25">
      <c r="A637" s="1"/>
      <c r="B637" s="10"/>
      <c r="C637" s="42"/>
      <c r="D637" s="43"/>
      <c r="E637" s="10"/>
      <c r="F637" s="42"/>
      <c r="G637" s="43"/>
      <c r="H637" s="10"/>
      <c r="I637" s="10"/>
      <c r="J637" s="42"/>
      <c r="K637" s="43"/>
      <c r="L637" s="43"/>
      <c r="M637" s="10"/>
      <c r="N637" s="10"/>
      <c r="O637" s="10"/>
      <c r="P637" s="10"/>
    </row>
    <row r="638" spans="1:16" x14ac:dyDescent="0.25">
      <c r="A638" s="1"/>
      <c r="B638" s="10"/>
      <c r="C638" s="42"/>
      <c r="D638" s="43"/>
      <c r="E638" s="10"/>
      <c r="F638" s="42"/>
      <c r="G638" s="43"/>
      <c r="H638" s="10"/>
      <c r="I638" s="10"/>
      <c r="J638" s="42"/>
      <c r="K638" s="43"/>
      <c r="L638" s="43"/>
      <c r="M638" s="10"/>
      <c r="N638" s="10"/>
      <c r="O638" s="10"/>
      <c r="P638" s="10"/>
    </row>
    <row r="639" spans="1:16" x14ac:dyDescent="0.25">
      <c r="A639" s="1"/>
      <c r="B639" s="10"/>
      <c r="C639" s="42"/>
      <c r="D639" s="43"/>
      <c r="E639" s="10"/>
      <c r="F639" s="42"/>
      <c r="G639" s="43"/>
      <c r="H639" s="10"/>
      <c r="I639" s="10"/>
      <c r="J639" s="42"/>
      <c r="K639" s="43"/>
      <c r="L639" s="43"/>
      <c r="M639" s="10"/>
      <c r="N639" s="10"/>
      <c r="O639" s="10"/>
      <c r="P639" s="10"/>
    </row>
    <row r="640" spans="1:16" x14ac:dyDescent="0.25">
      <c r="A640" s="1"/>
      <c r="B640" s="10"/>
      <c r="C640" s="42"/>
      <c r="D640" s="43"/>
      <c r="E640" s="10"/>
      <c r="F640" s="42"/>
      <c r="G640" s="43"/>
      <c r="H640" s="10"/>
      <c r="I640" s="10"/>
      <c r="J640" s="42"/>
      <c r="K640" s="43"/>
      <c r="L640" s="43"/>
      <c r="M640" s="10"/>
      <c r="N640" s="10"/>
      <c r="O640" s="10"/>
      <c r="P640" s="10"/>
    </row>
    <row r="641" spans="1:16" x14ac:dyDescent="0.25">
      <c r="A641" s="1"/>
      <c r="B641" s="10"/>
      <c r="C641" s="42"/>
      <c r="D641" s="43"/>
      <c r="E641" s="10"/>
      <c r="F641" s="42"/>
      <c r="G641" s="43"/>
      <c r="H641" s="10"/>
      <c r="I641" s="10"/>
      <c r="J641" s="42"/>
      <c r="K641" s="43"/>
      <c r="L641" s="43"/>
      <c r="M641" s="10"/>
      <c r="N641" s="10"/>
      <c r="O641" s="10"/>
      <c r="P641" s="10"/>
    </row>
    <row r="642" spans="1:16" x14ac:dyDescent="0.25">
      <c r="A642" s="1"/>
      <c r="B642" s="10"/>
      <c r="C642" s="42"/>
      <c r="D642" s="43"/>
      <c r="E642" s="10"/>
      <c r="F642" s="42"/>
      <c r="G642" s="43"/>
      <c r="H642" s="10"/>
      <c r="I642" s="10"/>
      <c r="J642" s="42"/>
      <c r="K642" s="43"/>
      <c r="L642" s="43"/>
      <c r="M642" s="10"/>
      <c r="N642" s="10"/>
      <c r="O642" s="10"/>
      <c r="P642" s="10"/>
    </row>
    <row r="643" spans="1:16" x14ac:dyDescent="0.25">
      <c r="A643" s="1"/>
      <c r="B643" s="10"/>
      <c r="C643" s="42"/>
      <c r="D643" s="43"/>
      <c r="E643" s="10"/>
      <c r="F643" s="42"/>
      <c r="G643" s="43"/>
      <c r="H643" s="10"/>
      <c r="I643" s="10"/>
      <c r="J643" s="42"/>
      <c r="K643" s="43"/>
      <c r="L643" s="43"/>
      <c r="M643" s="10"/>
      <c r="N643" s="10"/>
      <c r="O643" s="10"/>
      <c r="P643" s="10"/>
    </row>
    <row r="644" spans="1:16" x14ac:dyDescent="0.25">
      <c r="A644" s="1"/>
      <c r="B644" s="10"/>
      <c r="C644" s="42"/>
      <c r="D644" s="43"/>
      <c r="E644" s="10"/>
      <c r="F644" s="42"/>
      <c r="G644" s="43"/>
      <c r="H644" s="10"/>
      <c r="I644" s="10"/>
      <c r="J644" s="42"/>
      <c r="K644" s="43"/>
      <c r="L644" s="43"/>
      <c r="M644" s="10"/>
      <c r="N644" s="10"/>
      <c r="O644" s="10"/>
      <c r="P644" s="10"/>
    </row>
    <row r="645" spans="1:16" x14ac:dyDescent="0.25">
      <c r="A645" s="1"/>
      <c r="B645" s="10"/>
      <c r="C645" s="42"/>
      <c r="D645" s="43"/>
      <c r="E645" s="10"/>
      <c r="F645" s="42"/>
      <c r="G645" s="43"/>
      <c r="H645" s="10"/>
      <c r="I645" s="10"/>
      <c r="J645" s="42"/>
      <c r="K645" s="43"/>
      <c r="L645" s="43"/>
      <c r="M645" s="10"/>
      <c r="N645" s="10"/>
      <c r="O645" s="10"/>
      <c r="P645" s="10"/>
    </row>
    <row r="646" spans="1:16" x14ac:dyDescent="0.25">
      <c r="A646" s="1"/>
      <c r="B646" s="10"/>
      <c r="C646" s="42"/>
      <c r="D646" s="43"/>
      <c r="E646" s="10"/>
      <c r="F646" s="42"/>
      <c r="G646" s="43"/>
      <c r="H646" s="10"/>
      <c r="I646" s="10"/>
      <c r="J646" s="42"/>
      <c r="K646" s="43"/>
      <c r="L646" s="43"/>
      <c r="M646" s="10"/>
      <c r="N646" s="10"/>
      <c r="O646" s="10"/>
      <c r="P646" s="10"/>
    </row>
    <row r="647" spans="1:16" x14ac:dyDescent="0.25">
      <c r="A647" s="1"/>
      <c r="B647" s="10"/>
      <c r="C647" s="42"/>
      <c r="D647" s="43"/>
      <c r="E647" s="10"/>
      <c r="F647" s="42"/>
      <c r="G647" s="43"/>
      <c r="H647" s="10"/>
      <c r="I647" s="10"/>
      <c r="J647" s="42"/>
      <c r="K647" s="43"/>
      <c r="L647" s="43"/>
      <c r="M647" s="10"/>
      <c r="N647" s="10"/>
      <c r="O647" s="10"/>
      <c r="P647" s="10"/>
    </row>
    <row r="648" spans="1:16" x14ac:dyDescent="0.25">
      <c r="A648" s="1"/>
      <c r="B648" s="10"/>
      <c r="C648" s="42"/>
      <c r="D648" s="43"/>
      <c r="E648" s="10"/>
      <c r="F648" s="42"/>
      <c r="G648" s="43"/>
      <c r="H648" s="10"/>
      <c r="I648" s="10"/>
      <c r="J648" s="42"/>
      <c r="K648" s="43"/>
      <c r="L648" s="43"/>
      <c r="M648" s="10"/>
      <c r="N648" s="10"/>
      <c r="O648" s="10"/>
      <c r="P648" s="10"/>
    </row>
    <row r="649" spans="1:16" x14ac:dyDescent="0.25">
      <c r="A649" s="1"/>
      <c r="B649" s="10"/>
      <c r="C649" s="42"/>
      <c r="D649" s="43"/>
      <c r="E649" s="10"/>
      <c r="F649" s="42"/>
      <c r="G649" s="43"/>
      <c r="H649" s="10"/>
      <c r="I649" s="10"/>
      <c r="J649" s="42"/>
      <c r="K649" s="43"/>
      <c r="L649" s="43"/>
      <c r="M649" s="10"/>
      <c r="N649" s="10"/>
      <c r="O649" s="10"/>
      <c r="P649" s="10"/>
    </row>
    <row r="650" spans="1:16" x14ac:dyDescent="0.25">
      <c r="A650" s="1"/>
      <c r="B650" s="10"/>
      <c r="C650" s="42"/>
      <c r="D650" s="43"/>
      <c r="E650" s="10"/>
      <c r="F650" s="42"/>
      <c r="G650" s="43"/>
      <c r="H650" s="10"/>
      <c r="I650" s="10"/>
      <c r="J650" s="42"/>
      <c r="K650" s="43"/>
      <c r="L650" s="43"/>
      <c r="M650" s="10"/>
      <c r="N650" s="10"/>
      <c r="O650" s="10"/>
      <c r="P650" s="10"/>
    </row>
    <row r="651" spans="1:16" x14ac:dyDescent="0.25">
      <c r="A651" s="1"/>
      <c r="B651" s="10"/>
      <c r="C651" s="42"/>
      <c r="D651" s="43"/>
      <c r="E651" s="10"/>
      <c r="F651" s="42"/>
      <c r="G651" s="43"/>
      <c r="H651" s="10"/>
      <c r="I651" s="10"/>
      <c r="J651" s="42"/>
      <c r="K651" s="43"/>
      <c r="L651" s="43"/>
      <c r="M651" s="10"/>
      <c r="N651" s="10"/>
      <c r="O651" s="10"/>
      <c r="P651" s="10"/>
    </row>
    <row r="652" spans="1:16" x14ac:dyDescent="0.25">
      <c r="A652" s="1"/>
      <c r="B652" s="10"/>
      <c r="C652" s="42"/>
      <c r="D652" s="43"/>
      <c r="E652" s="10"/>
      <c r="F652" s="42"/>
      <c r="G652" s="43"/>
      <c r="H652" s="10"/>
      <c r="I652" s="10"/>
      <c r="J652" s="42"/>
      <c r="K652" s="43"/>
      <c r="L652" s="43"/>
      <c r="M652" s="10"/>
      <c r="N652" s="10"/>
      <c r="O652" s="10"/>
      <c r="P652" s="10"/>
    </row>
    <row r="653" spans="1:16" x14ac:dyDescent="0.25">
      <c r="A653" s="1"/>
      <c r="B653" s="10"/>
      <c r="C653" s="42"/>
      <c r="D653" s="43"/>
      <c r="E653" s="10"/>
      <c r="F653" s="42"/>
      <c r="G653" s="43"/>
      <c r="H653" s="10"/>
      <c r="I653" s="10"/>
      <c r="J653" s="42"/>
      <c r="K653" s="43"/>
      <c r="L653" s="43"/>
      <c r="M653" s="10"/>
      <c r="N653" s="10"/>
      <c r="O653" s="10"/>
      <c r="P653" s="10"/>
    </row>
    <row r="654" spans="1:16" x14ac:dyDescent="0.25">
      <c r="A654" s="1"/>
      <c r="B654" s="10"/>
      <c r="C654" s="42"/>
      <c r="D654" s="43"/>
      <c r="E654" s="10"/>
      <c r="F654" s="42"/>
      <c r="G654" s="43"/>
      <c r="H654" s="10"/>
      <c r="I654" s="10"/>
      <c r="J654" s="42"/>
      <c r="K654" s="43"/>
      <c r="L654" s="43"/>
      <c r="M654" s="10"/>
      <c r="N654" s="10"/>
      <c r="O654" s="10"/>
      <c r="P654" s="10"/>
    </row>
    <row r="655" spans="1:16" x14ac:dyDescent="0.25">
      <c r="A655" s="1"/>
      <c r="B655" s="10"/>
      <c r="C655" s="42"/>
      <c r="D655" s="43"/>
      <c r="E655" s="10"/>
      <c r="F655" s="42"/>
      <c r="G655" s="43"/>
      <c r="H655" s="10"/>
      <c r="I655" s="10"/>
      <c r="J655" s="42"/>
      <c r="K655" s="43"/>
      <c r="L655" s="43"/>
      <c r="M655" s="10"/>
      <c r="N655" s="10"/>
      <c r="O655" s="10"/>
      <c r="P655" s="10"/>
    </row>
    <row r="656" spans="1:16" x14ac:dyDescent="0.25">
      <c r="A656" s="1"/>
      <c r="B656" s="10"/>
      <c r="C656" s="42"/>
      <c r="D656" s="43"/>
      <c r="E656" s="10"/>
      <c r="F656" s="42"/>
      <c r="G656" s="43"/>
      <c r="H656" s="10"/>
      <c r="I656" s="10"/>
      <c r="J656" s="42"/>
      <c r="K656" s="43"/>
      <c r="L656" s="43"/>
      <c r="M656" s="10"/>
      <c r="N656" s="10"/>
      <c r="O656" s="10"/>
      <c r="P656" s="10"/>
    </row>
    <row r="657" spans="1:16" x14ac:dyDescent="0.25">
      <c r="A657" s="1"/>
      <c r="B657" s="10"/>
      <c r="C657" s="42"/>
      <c r="D657" s="43"/>
      <c r="E657" s="10"/>
      <c r="F657" s="42"/>
      <c r="G657" s="43"/>
      <c r="H657" s="10"/>
      <c r="I657" s="10"/>
      <c r="J657" s="42"/>
      <c r="K657" s="43"/>
      <c r="L657" s="43"/>
      <c r="M657" s="10"/>
      <c r="N657" s="10"/>
      <c r="O657" s="10"/>
      <c r="P657" s="10"/>
    </row>
    <row r="658" spans="1:16" x14ac:dyDescent="0.25">
      <c r="A658" s="1"/>
      <c r="B658" s="10"/>
      <c r="C658" s="42"/>
      <c r="D658" s="43"/>
      <c r="E658" s="10"/>
      <c r="F658" s="42"/>
      <c r="G658" s="43"/>
      <c r="H658" s="10"/>
      <c r="I658" s="10"/>
      <c r="J658" s="42"/>
      <c r="K658" s="43"/>
      <c r="L658" s="43"/>
      <c r="M658" s="10"/>
      <c r="N658" s="10"/>
      <c r="O658" s="10"/>
      <c r="P658" s="10"/>
    </row>
    <row r="659" spans="1:16" x14ac:dyDescent="0.25">
      <c r="A659" s="1"/>
      <c r="B659" s="10"/>
      <c r="C659" s="42"/>
      <c r="D659" s="43"/>
      <c r="E659" s="10"/>
      <c r="F659" s="42"/>
      <c r="G659" s="43"/>
      <c r="H659" s="10"/>
      <c r="I659" s="10"/>
      <c r="J659" s="42"/>
      <c r="K659" s="43"/>
      <c r="L659" s="43"/>
      <c r="M659" s="10"/>
      <c r="N659" s="10"/>
      <c r="O659" s="10"/>
      <c r="P659" s="10"/>
    </row>
    <row r="660" spans="1:16" x14ac:dyDescent="0.25">
      <c r="A660" s="1"/>
      <c r="B660" s="10"/>
      <c r="C660" s="42"/>
      <c r="D660" s="43"/>
      <c r="E660" s="10"/>
      <c r="F660" s="42"/>
      <c r="G660" s="43"/>
      <c r="H660" s="10"/>
      <c r="I660" s="10"/>
      <c r="J660" s="42"/>
      <c r="K660" s="43"/>
      <c r="L660" s="43"/>
      <c r="M660" s="10"/>
      <c r="N660" s="10"/>
      <c r="O660" s="10"/>
      <c r="P660" s="10"/>
    </row>
    <row r="661" spans="1:16" x14ac:dyDescent="0.25">
      <c r="A661" s="1"/>
      <c r="B661" s="10"/>
      <c r="C661" s="42"/>
      <c r="D661" s="43"/>
      <c r="E661" s="10"/>
      <c r="F661" s="42"/>
      <c r="G661" s="43"/>
      <c r="H661" s="10"/>
      <c r="I661" s="10"/>
      <c r="J661" s="42"/>
      <c r="K661" s="43"/>
      <c r="L661" s="43"/>
      <c r="M661" s="10"/>
      <c r="N661" s="10"/>
      <c r="O661" s="10"/>
      <c r="P661" s="10"/>
    </row>
    <row r="662" spans="1:16" x14ac:dyDescent="0.25">
      <c r="A662" s="1"/>
      <c r="B662" s="10"/>
      <c r="C662" s="42"/>
      <c r="D662" s="43"/>
      <c r="E662" s="10"/>
      <c r="F662" s="42"/>
      <c r="G662" s="43"/>
      <c r="H662" s="10"/>
      <c r="I662" s="10"/>
      <c r="J662" s="42"/>
      <c r="K662" s="43"/>
      <c r="L662" s="43"/>
      <c r="M662" s="10"/>
      <c r="N662" s="10"/>
      <c r="O662" s="10"/>
      <c r="P662" s="10"/>
    </row>
    <row r="663" spans="1:16" x14ac:dyDescent="0.25">
      <c r="A663" s="1"/>
      <c r="B663" s="10"/>
      <c r="C663" s="42"/>
      <c r="D663" s="43"/>
      <c r="E663" s="10"/>
      <c r="F663" s="42"/>
      <c r="G663" s="43"/>
      <c r="H663" s="10"/>
      <c r="I663" s="10"/>
      <c r="J663" s="42"/>
      <c r="K663" s="43"/>
      <c r="L663" s="43"/>
      <c r="M663" s="10"/>
      <c r="N663" s="10"/>
      <c r="O663" s="10"/>
      <c r="P663" s="10"/>
    </row>
    <row r="664" spans="1:16" x14ac:dyDescent="0.25">
      <c r="A664" s="1"/>
      <c r="B664" s="10"/>
      <c r="C664" s="42"/>
      <c r="D664" s="43"/>
      <c r="E664" s="10"/>
      <c r="F664" s="42"/>
      <c r="G664" s="43"/>
      <c r="H664" s="10"/>
      <c r="I664" s="10"/>
      <c r="J664" s="42"/>
      <c r="K664" s="43"/>
      <c r="L664" s="43"/>
      <c r="M664" s="10"/>
      <c r="N664" s="10"/>
      <c r="O664" s="10"/>
      <c r="P664" s="10"/>
    </row>
    <row r="665" spans="1:16" x14ac:dyDescent="0.25">
      <c r="A665" s="1"/>
      <c r="B665" s="10"/>
      <c r="C665" s="42"/>
      <c r="D665" s="43"/>
      <c r="E665" s="10"/>
      <c r="F665" s="42"/>
      <c r="G665" s="43"/>
      <c r="H665" s="10"/>
      <c r="I665" s="10"/>
      <c r="J665" s="42"/>
      <c r="K665" s="43"/>
      <c r="L665" s="43"/>
      <c r="M665" s="10"/>
      <c r="N665" s="10"/>
      <c r="O665" s="10"/>
      <c r="P665" s="10"/>
    </row>
    <row r="666" spans="1:16" x14ac:dyDescent="0.25">
      <c r="A666" s="1"/>
      <c r="B666" s="10"/>
      <c r="C666" s="42"/>
      <c r="D666" s="43"/>
      <c r="E666" s="10"/>
      <c r="F666" s="42"/>
      <c r="G666" s="43"/>
      <c r="H666" s="10"/>
      <c r="I666" s="10"/>
      <c r="J666" s="42"/>
      <c r="K666" s="43"/>
      <c r="L666" s="43"/>
      <c r="M666" s="10"/>
      <c r="N666" s="10"/>
      <c r="O666" s="10"/>
      <c r="P666" s="10"/>
    </row>
    <row r="667" spans="1:16" x14ac:dyDescent="0.25">
      <c r="A667" s="1"/>
      <c r="B667" s="10"/>
      <c r="C667" s="42"/>
      <c r="D667" s="43"/>
      <c r="E667" s="10"/>
      <c r="F667" s="42"/>
      <c r="G667" s="43"/>
      <c r="H667" s="10"/>
      <c r="I667" s="10"/>
      <c r="J667" s="42"/>
      <c r="K667" s="43"/>
      <c r="L667" s="43"/>
      <c r="M667" s="10"/>
      <c r="N667" s="10"/>
      <c r="O667" s="10"/>
      <c r="P667" s="10"/>
    </row>
    <row r="668" spans="1:16" x14ac:dyDescent="0.25">
      <c r="A668" s="1"/>
      <c r="B668" s="10"/>
      <c r="C668" s="42"/>
      <c r="D668" s="43"/>
      <c r="E668" s="10"/>
      <c r="F668" s="42"/>
      <c r="G668" s="43"/>
      <c r="H668" s="10"/>
      <c r="I668" s="10"/>
      <c r="J668" s="42"/>
      <c r="K668" s="43"/>
      <c r="L668" s="43"/>
      <c r="M668" s="10"/>
      <c r="N668" s="10"/>
      <c r="O668" s="10"/>
      <c r="P668" s="10"/>
    </row>
    <row r="669" spans="1:16" x14ac:dyDescent="0.25">
      <c r="A669" s="1"/>
      <c r="B669" s="10"/>
      <c r="C669" s="42"/>
      <c r="D669" s="43"/>
      <c r="E669" s="10"/>
      <c r="F669" s="42"/>
      <c r="G669" s="43"/>
      <c r="H669" s="10"/>
      <c r="I669" s="10"/>
      <c r="J669" s="42"/>
      <c r="K669" s="43"/>
      <c r="L669" s="43"/>
      <c r="M669" s="10"/>
      <c r="N669" s="10"/>
      <c r="O669" s="10"/>
      <c r="P669" s="10"/>
    </row>
    <row r="670" spans="1:16" x14ac:dyDescent="0.25">
      <c r="A670" s="1"/>
      <c r="B670" s="10"/>
      <c r="C670" s="42"/>
      <c r="D670" s="43"/>
      <c r="E670" s="10"/>
      <c r="F670" s="42"/>
      <c r="G670" s="43"/>
      <c r="H670" s="10"/>
      <c r="I670" s="10"/>
      <c r="J670" s="42"/>
      <c r="K670" s="43"/>
      <c r="L670" s="43"/>
      <c r="M670" s="10"/>
      <c r="N670" s="10"/>
      <c r="O670" s="10"/>
      <c r="P670" s="10"/>
    </row>
    <row r="671" spans="1:16" x14ac:dyDescent="0.25">
      <c r="A671" s="1"/>
      <c r="B671" s="10"/>
      <c r="C671" s="42"/>
      <c r="D671" s="43"/>
      <c r="E671" s="10"/>
      <c r="F671" s="42"/>
      <c r="G671" s="43"/>
      <c r="H671" s="10"/>
      <c r="I671" s="10"/>
      <c r="J671" s="42"/>
      <c r="K671" s="43"/>
      <c r="L671" s="43"/>
      <c r="M671" s="10"/>
      <c r="N671" s="10"/>
      <c r="O671" s="10"/>
      <c r="P671" s="10"/>
    </row>
    <row r="672" spans="1:16" x14ac:dyDescent="0.25">
      <c r="A672" s="1"/>
      <c r="B672" s="10"/>
      <c r="C672" s="42"/>
      <c r="D672" s="43"/>
      <c r="E672" s="10"/>
      <c r="F672" s="42"/>
      <c r="G672" s="43"/>
      <c r="H672" s="10"/>
      <c r="I672" s="10"/>
      <c r="J672" s="42"/>
      <c r="K672" s="43"/>
      <c r="L672" s="43"/>
      <c r="M672" s="10"/>
      <c r="N672" s="10"/>
      <c r="O672" s="10"/>
      <c r="P672" s="10"/>
    </row>
    <row r="673" spans="1:16" x14ac:dyDescent="0.25">
      <c r="A673" s="1"/>
      <c r="B673" s="10"/>
      <c r="C673" s="42"/>
      <c r="D673" s="43"/>
      <c r="E673" s="10"/>
      <c r="F673" s="42"/>
      <c r="G673" s="43"/>
      <c r="H673" s="10"/>
      <c r="I673" s="10"/>
      <c r="J673" s="42"/>
      <c r="K673" s="43"/>
      <c r="L673" s="43"/>
      <c r="M673" s="10"/>
      <c r="N673" s="10"/>
      <c r="O673" s="10"/>
      <c r="P673" s="10"/>
    </row>
    <row r="674" spans="1:16" x14ac:dyDescent="0.25">
      <c r="A674" s="1"/>
      <c r="B674" s="10"/>
      <c r="C674" s="42"/>
      <c r="D674" s="43"/>
      <c r="E674" s="10"/>
      <c r="F674" s="42"/>
      <c r="G674" s="43"/>
      <c r="H674" s="10"/>
      <c r="I674" s="10"/>
      <c r="J674" s="42"/>
      <c r="K674" s="43"/>
      <c r="L674" s="43"/>
      <c r="M674" s="10"/>
      <c r="N674" s="10"/>
      <c r="O674" s="10"/>
      <c r="P674" s="10"/>
    </row>
    <row r="675" spans="1:16" x14ac:dyDescent="0.25">
      <c r="A675" s="1"/>
      <c r="B675" s="10"/>
      <c r="C675" s="42"/>
      <c r="D675" s="43"/>
      <c r="E675" s="10"/>
      <c r="F675" s="42"/>
      <c r="G675" s="43"/>
      <c r="H675" s="10"/>
      <c r="I675" s="10"/>
      <c r="J675" s="42"/>
      <c r="K675" s="43"/>
      <c r="L675" s="43"/>
      <c r="M675" s="10"/>
      <c r="N675" s="10"/>
      <c r="O675" s="10"/>
      <c r="P675" s="10"/>
    </row>
    <row r="676" spans="1:16" x14ac:dyDescent="0.25">
      <c r="A676" s="1"/>
      <c r="B676" s="10"/>
      <c r="C676" s="42"/>
      <c r="D676" s="43"/>
      <c r="E676" s="10"/>
      <c r="F676" s="42"/>
      <c r="G676" s="43"/>
      <c r="H676" s="10"/>
      <c r="I676" s="10"/>
      <c r="J676" s="42"/>
      <c r="K676" s="43"/>
      <c r="L676" s="43"/>
      <c r="M676" s="10"/>
      <c r="N676" s="10"/>
      <c r="O676" s="10"/>
      <c r="P676" s="10"/>
    </row>
    <row r="677" spans="1:16" x14ac:dyDescent="0.25">
      <c r="A677" s="1"/>
      <c r="B677" s="10"/>
      <c r="C677" s="42"/>
      <c r="D677" s="43"/>
      <c r="E677" s="10"/>
      <c r="F677" s="42"/>
      <c r="G677" s="43"/>
      <c r="H677" s="10"/>
      <c r="I677" s="10"/>
      <c r="J677" s="42"/>
      <c r="K677" s="43"/>
      <c r="L677" s="43"/>
      <c r="M677" s="10"/>
      <c r="N677" s="10"/>
      <c r="O677" s="10"/>
      <c r="P677" s="10"/>
    </row>
    <row r="678" spans="1:16" x14ac:dyDescent="0.25">
      <c r="A678" s="1"/>
      <c r="B678" s="10"/>
      <c r="C678" s="42"/>
      <c r="D678" s="43"/>
      <c r="E678" s="10"/>
      <c r="F678" s="42"/>
      <c r="G678" s="43"/>
      <c r="H678" s="10"/>
      <c r="I678" s="10"/>
      <c r="J678" s="42"/>
      <c r="K678" s="43"/>
      <c r="L678" s="43"/>
      <c r="M678" s="10"/>
      <c r="N678" s="10"/>
      <c r="O678" s="10"/>
      <c r="P678" s="10"/>
    </row>
    <row r="679" spans="1:16" x14ac:dyDescent="0.25">
      <c r="A679" s="1"/>
      <c r="B679" s="10"/>
      <c r="C679" s="42"/>
      <c r="D679" s="43"/>
      <c r="E679" s="10"/>
      <c r="F679" s="42"/>
      <c r="G679" s="43"/>
      <c r="H679" s="10"/>
      <c r="I679" s="10"/>
      <c r="J679" s="42"/>
      <c r="K679" s="43"/>
      <c r="L679" s="43"/>
      <c r="M679" s="10"/>
      <c r="N679" s="10"/>
      <c r="O679" s="10"/>
      <c r="P679" s="10"/>
    </row>
    <row r="680" spans="1:16" x14ac:dyDescent="0.25">
      <c r="A680" s="1"/>
      <c r="B680" s="10"/>
      <c r="C680" s="42"/>
      <c r="D680" s="43"/>
      <c r="E680" s="10"/>
      <c r="F680" s="42"/>
      <c r="G680" s="43"/>
      <c r="H680" s="10"/>
      <c r="I680" s="10"/>
      <c r="J680" s="42"/>
      <c r="K680" s="43"/>
      <c r="L680" s="43"/>
      <c r="M680" s="10"/>
      <c r="N680" s="10"/>
      <c r="O680" s="10"/>
      <c r="P680" s="10"/>
    </row>
    <row r="681" spans="1:16" x14ac:dyDescent="0.25">
      <c r="A681" s="1"/>
      <c r="B681" s="10"/>
      <c r="C681" s="42"/>
      <c r="D681" s="43"/>
      <c r="E681" s="10"/>
      <c r="F681" s="42"/>
      <c r="G681" s="43"/>
      <c r="H681" s="10"/>
      <c r="I681" s="10"/>
      <c r="J681" s="42"/>
      <c r="K681" s="43"/>
      <c r="L681" s="43"/>
      <c r="M681" s="10"/>
      <c r="N681" s="10"/>
      <c r="O681" s="10"/>
      <c r="P681" s="10"/>
    </row>
    <row r="682" spans="1:16" x14ac:dyDescent="0.25">
      <c r="A682" s="1"/>
      <c r="B682" s="10"/>
      <c r="C682" s="42"/>
      <c r="D682" s="43"/>
      <c r="E682" s="10"/>
      <c r="F682" s="42"/>
      <c r="G682" s="43"/>
      <c r="H682" s="10"/>
      <c r="I682" s="10"/>
      <c r="J682" s="42"/>
      <c r="K682" s="43"/>
      <c r="L682" s="43"/>
      <c r="M682" s="10"/>
      <c r="N682" s="10"/>
      <c r="O682" s="10"/>
      <c r="P682" s="10"/>
    </row>
    <row r="683" spans="1:16" x14ac:dyDescent="0.25">
      <c r="A683" s="1"/>
      <c r="B683" s="10"/>
      <c r="C683" s="42"/>
      <c r="D683" s="43"/>
      <c r="E683" s="10"/>
      <c r="F683" s="42"/>
      <c r="G683" s="43"/>
      <c r="H683" s="10"/>
      <c r="I683" s="10"/>
      <c r="J683" s="42"/>
      <c r="K683" s="43"/>
      <c r="L683" s="43"/>
      <c r="M683" s="10"/>
      <c r="N683" s="10"/>
      <c r="O683" s="10"/>
      <c r="P683" s="10"/>
    </row>
    <row r="684" spans="1:16" x14ac:dyDescent="0.25">
      <c r="A684" s="1"/>
      <c r="B684" s="10"/>
      <c r="C684" s="42"/>
      <c r="D684" s="43"/>
      <c r="E684" s="10"/>
      <c r="F684" s="42"/>
      <c r="G684" s="43"/>
      <c r="H684" s="10"/>
      <c r="I684" s="10"/>
      <c r="J684" s="42"/>
      <c r="K684" s="43"/>
      <c r="L684" s="43"/>
      <c r="M684" s="10"/>
      <c r="N684" s="10"/>
      <c r="O684" s="10"/>
      <c r="P684" s="10"/>
    </row>
    <row r="685" spans="1:16" x14ac:dyDescent="0.25">
      <c r="A685" s="1"/>
      <c r="B685" s="10"/>
      <c r="C685" s="42"/>
      <c r="D685" s="43"/>
      <c r="E685" s="10"/>
      <c r="F685" s="42"/>
      <c r="G685" s="43"/>
      <c r="H685" s="10"/>
      <c r="I685" s="10"/>
      <c r="J685" s="42"/>
      <c r="K685" s="43"/>
      <c r="L685" s="43"/>
      <c r="M685" s="10"/>
      <c r="N685" s="10"/>
      <c r="O685" s="10"/>
      <c r="P685" s="10"/>
    </row>
    <row r="686" spans="1:16" x14ac:dyDescent="0.25">
      <c r="A686" s="1"/>
      <c r="B686" s="10"/>
      <c r="C686" s="42"/>
      <c r="D686" s="43"/>
      <c r="E686" s="10"/>
      <c r="F686" s="42"/>
      <c r="G686" s="43"/>
      <c r="H686" s="10"/>
      <c r="I686" s="10"/>
      <c r="J686" s="42"/>
      <c r="K686" s="43"/>
      <c r="L686" s="43"/>
      <c r="M686" s="10"/>
      <c r="N686" s="10"/>
      <c r="O686" s="10"/>
      <c r="P686" s="10"/>
    </row>
    <row r="687" spans="1:16" x14ac:dyDescent="0.25">
      <c r="A687" s="1"/>
      <c r="B687" s="10"/>
      <c r="C687" s="42"/>
      <c r="D687" s="43"/>
      <c r="E687" s="10"/>
      <c r="F687" s="42"/>
      <c r="G687" s="43"/>
      <c r="H687" s="10"/>
      <c r="I687" s="10"/>
      <c r="J687" s="42"/>
      <c r="K687" s="43"/>
      <c r="L687" s="43"/>
      <c r="M687" s="10"/>
      <c r="N687" s="10"/>
      <c r="O687" s="10"/>
      <c r="P687" s="10"/>
    </row>
    <row r="688" spans="1:16" x14ac:dyDescent="0.25">
      <c r="A688" s="1"/>
      <c r="B688" s="10"/>
      <c r="C688" s="42"/>
      <c r="D688" s="43"/>
      <c r="E688" s="10"/>
      <c r="F688" s="42"/>
      <c r="G688" s="43"/>
      <c r="H688" s="10"/>
      <c r="I688" s="10"/>
      <c r="J688" s="42"/>
      <c r="K688" s="43"/>
      <c r="L688" s="43"/>
      <c r="M688" s="10"/>
      <c r="N688" s="10"/>
      <c r="O688" s="10"/>
      <c r="P688" s="10"/>
    </row>
    <row r="689" spans="1:16" x14ac:dyDescent="0.25">
      <c r="A689" s="1"/>
      <c r="B689" s="10"/>
      <c r="C689" s="42"/>
      <c r="D689" s="43"/>
      <c r="E689" s="10"/>
      <c r="F689" s="42"/>
      <c r="G689" s="43"/>
      <c r="H689" s="10"/>
      <c r="I689" s="10"/>
      <c r="J689" s="42"/>
      <c r="K689" s="43"/>
      <c r="L689" s="43"/>
      <c r="M689" s="10"/>
      <c r="N689" s="10"/>
      <c r="O689" s="10"/>
      <c r="P689" s="10"/>
    </row>
    <row r="690" spans="1:16" x14ac:dyDescent="0.25">
      <c r="A690" s="1"/>
      <c r="B690" s="10"/>
      <c r="C690" s="42"/>
      <c r="D690" s="43"/>
      <c r="E690" s="10"/>
      <c r="F690" s="42"/>
      <c r="G690" s="43"/>
      <c r="H690" s="10"/>
      <c r="I690" s="10"/>
      <c r="J690" s="42"/>
      <c r="K690" s="43"/>
      <c r="L690" s="43"/>
      <c r="M690" s="10"/>
      <c r="N690" s="10"/>
      <c r="O690" s="10"/>
      <c r="P690" s="10"/>
    </row>
    <row r="691" spans="1:16" x14ac:dyDescent="0.25">
      <c r="A691" s="1"/>
      <c r="B691" s="10"/>
      <c r="C691" s="42"/>
      <c r="D691" s="43"/>
      <c r="E691" s="10"/>
      <c r="F691" s="42"/>
      <c r="G691" s="43"/>
      <c r="H691" s="10"/>
      <c r="I691" s="10"/>
      <c r="J691" s="42"/>
      <c r="K691" s="43"/>
      <c r="L691" s="43"/>
      <c r="M691" s="10"/>
      <c r="N691" s="10"/>
      <c r="O691" s="10"/>
      <c r="P691" s="10"/>
    </row>
    <row r="692" spans="1:16" x14ac:dyDescent="0.25">
      <c r="A692" s="1"/>
      <c r="B692" s="10"/>
      <c r="C692" s="42"/>
      <c r="D692" s="43"/>
      <c r="E692" s="10"/>
      <c r="F692" s="42"/>
      <c r="G692" s="43"/>
      <c r="H692" s="10"/>
      <c r="I692" s="10"/>
      <c r="J692" s="42"/>
      <c r="K692" s="43"/>
      <c r="L692" s="43"/>
      <c r="M692" s="10"/>
      <c r="N692" s="10"/>
      <c r="O692" s="10"/>
      <c r="P692" s="10"/>
    </row>
    <row r="693" spans="1:16" x14ac:dyDescent="0.25">
      <c r="A693" s="1"/>
      <c r="B693" s="10"/>
      <c r="C693" s="42"/>
      <c r="D693" s="43"/>
      <c r="E693" s="10"/>
      <c r="F693" s="42"/>
      <c r="G693" s="43"/>
      <c r="H693" s="10"/>
      <c r="I693" s="10"/>
      <c r="J693" s="42"/>
      <c r="K693" s="43"/>
      <c r="L693" s="43"/>
      <c r="M693" s="10"/>
      <c r="N693" s="10"/>
      <c r="O693" s="10"/>
      <c r="P693" s="10"/>
    </row>
    <row r="694" spans="1:16" x14ac:dyDescent="0.25">
      <c r="A694" s="1"/>
      <c r="B694" s="10"/>
      <c r="C694" s="42"/>
      <c r="D694" s="43"/>
      <c r="E694" s="10"/>
      <c r="F694" s="42"/>
      <c r="G694" s="43"/>
      <c r="H694" s="10"/>
      <c r="I694" s="10"/>
      <c r="J694" s="42"/>
      <c r="K694" s="43"/>
      <c r="L694" s="43"/>
      <c r="M694" s="10"/>
      <c r="N694" s="10"/>
      <c r="O694" s="10"/>
      <c r="P694" s="10"/>
    </row>
    <row r="695" spans="1:16" x14ac:dyDescent="0.25">
      <c r="A695" s="1"/>
      <c r="B695" s="10"/>
      <c r="C695" s="42"/>
      <c r="D695" s="43"/>
      <c r="E695" s="10"/>
      <c r="F695" s="42"/>
      <c r="G695" s="43"/>
      <c r="H695" s="10"/>
      <c r="I695" s="10"/>
      <c r="J695" s="42"/>
      <c r="K695" s="43"/>
      <c r="L695" s="43"/>
      <c r="M695" s="10"/>
      <c r="N695" s="10"/>
      <c r="O695" s="10"/>
      <c r="P695" s="10"/>
    </row>
    <row r="696" spans="1:16" x14ac:dyDescent="0.25">
      <c r="A696" s="1"/>
      <c r="B696" s="10"/>
      <c r="C696" s="42"/>
      <c r="D696" s="43"/>
      <c r="E696" s="10"/>
      <c r="F696" s="42"/>
      <c r="G696" s="43"/>
      <c r="H696" s="10"/>
      <c r="I696" s="10"/>
      <c r="J696" s="42"/>
      <c r="K696" s="43"/>
      <c r="L696" s="43"/>
      <c r="M696" s="10"/>
      <c r="N696" s="10"/>
      <c r="O696" s="10"/>
      <c r="P696" s="10"/>
    </row>
    <row r="697" spans="1:16" x14ac:dyDescent="0.25">
      <c r="A697" s="1"/>
      <c r="B697" s="10"/>
      <c r="C697" s="42"/>
      <c r="D697" s="43"/>
      <c r="E697" s="10"/>
      <c r="F697" s="42"/>
      <c r="G697" s="43"/>
      <c r="H697" s="10"/>
      <c r="I697" s="10"/>
      <c r="J697" s="42"/>
      <c r="K697" s="43"/>
      <c r="L697" s="43"/>
      <c r="M697" s="10"/>
      <c r="N697" s="10"/>
      <c r="O697" s="10"/>
      <c r="P697" s="10"/>
    </row>
    <row r="698" spans="1:16" x14ac:dyDescent="0.25">
      <c r="A698" s="1"/>
      <c r="B698" s="10"/>
      <c r="C698" s="42"/>
      <c r="D698" s="43"/>
      <c r="E698" s="10"/>
      <c r="F698" s="42"/>
      <c r="G698" s="43"/>
      <c r="H698" s="10"/>
      <c r="I698" s="10"/>
      <c r="J698" s="42"/>
      <c r="K698" s="43"/>
      <c r="L698" s="43"/>
      <c r="M698" s="10"/>
      <c r="N698" s="10"/>
      <c r="O698" s="10"/>
      <c r="P698" s="10"/>
    </row>
    <row r="699" spans="1:16" x14ac:dyDescent="0.25">
      <c r="A699" s="1"/>
      <c r="B699" s="10"/>
      <c r="C699" s="42"/>
      <c r="D699" s="43"/>
      <c r="E699" s="10"/>
      <c r="F699" s="42"/>
      <c r="G699" s="43"/>
      <c r="H699" s="10"/>
      <c r="I699" s="10"/>
      <c r="J699" s="42"/>
      <c r="K699" s="43"/>
      <c r="L699" s="43"/>
      <c r="M699" s="10"/>
      <c r="N699" s="10"/>
      <c r="O699" s="10"/>
      <c r="P699" s="10"/>
    </row>
    <row r="700" spans="1:16" x14ac:dyDescent="0.25">
      <c r="A700" s="1"/>
      <c r="B700" s="10"/>
      <c r="C700" s="42"/>
      <c r="D700" s="43"/>
      <c r="E700" s="10"/>
      <c r="F700" s="42"/>
      <c r="G700" s="43"/>
      <c r="H700" s="10"/>
      <c r="I700" s="10"/>
      <c r="J700" s="42"/>
      <c r="K700" s="43"/>
      <c r="L700" s="43"/>
      <c r="M700" s="10"/>
      <c r="N700" s="10"/>
      <c r="O700" s="10"/>
      <c r="P700" s="10"/>
    </row>
    <row r="701" spans="1:16" x14ac:dyDescent="0.25">
      <c r="A701" s="1"/>
      <c r="B701" s="10"/>
      <c r="C701" s="42"/>
      <c r="D701" s="43"/>
      <c r="E701" s="10"/>
      <c r="F701" s="42"/>
      <c r="G701" s="43"/>
      <c r="H701" s="10"/>
      <c r="I701" s="10"/>
      <c r="J701" s="42"/>
      <c r="K701" s="43"/>
      <c r="L701" s="43"/>
      <c r="M701" s="10"/>
      <c r="N701" s="10"/>
      <c r="O701" s="10"/>
      <c r="P701" s="10"/>
    </row>
    <row r="702" spans="1:16" x14ac:dyDescent="0.25">
      <c r="A702" s="1"/>
      <c r="B702" s="10"/>
      <c r="C702" s="42"/>
      <c r="D702" s="43"/>
      <c r="E702" s="10"/>
      <c r="F702" s="42"/>
      <c r="G702" s="43"/>
      <c r="H702" s="10"/>
      <c r="I702" s="10"/>
      <c r="J702" s="42"/>
      <c r="K702" s="43"/>
      <c r="L702" s="43"/>
      <c r="M702" s="10"/>
      <c r="N702" s="10"/>
      <c r="O702" s="10"/>
      <c r="P702" s="10"/>
    </row>
    <row r="703" spans="1:16" x14ac:dyDescent="0.25">
      <c r="A703" s="1"/>
      <c r="B703" s="10"/>
      <c r="C703" s="42"/>
      <c r="D703" s="43"/>
      <c r="E703" s="10"/>
      <c r="F703" s="42"/>
      <c r="G703" s="43"/>
      <c r="H703" s="10"/>
      <c r="I703" s="10"/>
      <c r="J703" s="42"/>
      <c r="K703" s="43"/>
      <c r="L703" s="43"/>
      <c r="M703" s="10"/>
      <c r="N703" s="10"/>
      <c r="O703" s="10"/>
      <c r="P703" s="10"/>
    </row>
    <row r="704" spans="1:16" x14ac:dyDescent="0.25">
      <c r="A704" s="1"/>
      <c r="B704" s="10"/>
      <c r="C704" s="42"/>
      <c r="D704" s="43"/>
      <c r="E704" s="10"/>
      <c r="F704" s="42"/>
      <c r="G704" s="43"/>
      <c r="H704" s="10"/>
      <c r="I704" s="10"/>
      <c r="J704" s="42"/>
      <c r="K704" s="43"/>
      <c r="L704" s="43"/>
      <c r="M704" s="10"/>
      <c r="N704" s="10"/>
      <c r="O704" s="10"/>
      <c r="P704" s="10"/>
    </row>
    <row r="705" spans="1:16" x14ac:dyDescent="0.25">
      <c r="A705" s="1"/>
      <c r="B705" s="10"/>
      <c r="C705" s="42"/>
      <c r="D705" s="43"/>
      <c r="E705" s="10"/>
      <c r="F705" s="42"/>
      <c r="G705" s="43"/>
      <c r="H705" s="10"/>
      <c r="I705" s="10"/>
      <c r="J705" s="42"/>
      <c r="K705" s="43"/>
      <c r="L705" s="43"/>
      <c r="M705" s="10"/>
      <c r="N705" s="10"/>
      <c r="O705" s="10"/>
      <c r="P705" s="10"/>
    </row>
    <row r="706" spans="1:16" x14ac:dyDescent="0.25">
      <c r="A706" s="1"/>
      <c r="B706" s="10"/>
      <c r="C706" s="42"/>
      <c r="D706" s="43"/>
      <c r="E706" s="10"/>
      <c r="F706" s="42"/>
      <c r="G706" s="43"/>
      <c r="H706" s="10"/>
      <c r="I706" s="10"/>
      <c r="J706" s="42"/>
      <c r="K706" s="43"/>
      <c r="L706" s="43"/>
      <c r="M706" s="10"/>
      <c r="N706" s="10"/>
      <c r="O706" s="10"/>
      <c r="P706" s="10"/>
    </row>
    <row r="707" spans="1:16" x14ac:dyDescent="0.25">
      <c r="A707" s="1"/>
      <c r="B707" s="10"/>
      <c r="C707" s="42"/>
      <c r="D707" s="43"/>
      <c r="E707" s="10"/>
      <c r="F707" s="42"/>
      <c r="G707" s="43"/>
      <c r="H707" s="10"/>
      <c r="I707" s="10"/>
      <c r="J707" s="42"/>
      <c r="K707" s="43"/>
      <c r="L707" s="43"/>
      <c r="M707" s="10"/>
      <c r="N707" s="10"/>
      <c r="O707" s="10"/>
      <c r="P707" s="10"/>
    </row>
    <row r="708" spans="1:16" x14ac:dyDescent="0.25">
      <c r="A708" s="1"/>
      <c r="B708" s="10"/>
      <c r="C708" s="42"/>
      <c r="D708" s="43"/>
      <c r="E708" s="10"/>
      <c r="F708" s="42"/>
      <c r="G708" s="43"/>
      <c r="H708" s="10"/>
      <c r="I708" s="10"/>
      <c r="J708" s="42"/>
      <c r="K708" s="43"/>
      <c r="L708" s="43"/>
      <c r="M708" s="10"/>
      <c r="N708" s="10"/>
      <c r="O708" s="10"/>
      <c r="P708" s="10"/>
    </row>
    <row r="709" spans="1:16" x14ac:dyDescent="0.25">
      <c r="A709" s="1"/>
      <c r="B709" s="10"/>
      <c r="C709" s="42"/>
      <c r="D709" s="43"/>
      <c r="E709" s="10"/>
      <c r="F709" s="42"/>
      <c r="G709" s="43"/>
      <c r="H709" s="10"/>
      <c r="I709" s="10"/>
      <c r="J709" s="42"/>
      <c r="K709" s="43"/>
      <c r="L709" s="43"/>
      <c r="M709" s="10"/>
      <c r="N709" s="10"/>
      <c r="O709" s="10"/>
      <c r="P709" s="10"/>
    </row>
    <row r="710" spans="1:16" x14ac:dyDescent="0.25">
      <c r="A710" s="1"/>
      <c r="B710" s="10"/>
      <c r="C710" s="42"/>
      <c r="D710" s="43"/>
      <c r="E710" s="10"/>
      <c r="F710" s="42"/>
      <c r="G710" s="43"/>
      <c r="H710" s="10"/>
      <c r="I710" s="10"/>
      <c r="J710" s="42"/>
      <c r="K710" s="43"/>
      <c r="L710" s="43"/>
      <c r="M710" s="10"/>
      <c r="N710" s="10"/>
      <c r="O710" s="10"/>
      <c r="P710" s="10"/>
    </row>
    <row r="711" spans="1:16" x14ac:dyDescent="0.25">
      <c r="A711" s="1"/>
      <c r="B711" s="10"/>
      <c r="C711" s="42"/>
      <c r="D711" s="43"/>
      <c r="E711" s="10"/>
      <c r="F711" s="42"/>
      <c r="G711" s="43"/>
      <c r="H711" s="10"/>
      <c r="I711" s="10"/>
      <c r="J711" s="42"/>
      <c r="K711" s="43"/>
      <c r="L711" s="43"/>
      <c r="M711" s="10"/>
      <c r="N711" s="10"/>
      <c r="O711" s="10"/>
      <c r="P711" s="10"/>
    </row>
    <row r="712" spans="1:16" x14ac:dyDescent="0.25">
      <c r="A712" s="1"/>
      <c r="B712" s="10"/>
      <c r="C712" s="42"/>
      <c r="D712" s="43"/>
      <c r="E712" s="10"/>
      <c r="F712" s="42"/>
      <c r="G712" s="43"/>
      <c r="H712" s="10"/>
      <c r="I712" s="10"/>
      <c r="J712" s="42"/>
      <c r="K712" s="43"/>
      <c r="L712" s="43"/>
      <c r="M712" s="10"/>
      <c r="N712" s="10"/>
      <c r="O712" s="10"/>
      <c r="P712" s="10"/>
    </row>
    <row r="713" spans="1:16" x14ac:dyDescent="0.25">
      <c r="A713" s="1"/>
      <c r="B713" s="10"/>
      <c r="C713" s="42"/>
      <c r="D713" s="43"/>
      <c r="E713" s="10"/>
      <c r="F713" s="42"/>
      <c r="G713" s="43"/>
      <c r="H713" s="10"/>
      <c r="I713" s="10"/>
      <c r="J713" s="42"/>
      <c r="K713" s="43"/>
      <c r="L713" s="43"/>
      <c r="M713" s="10"/>
      <c r="N713" s="10"/>
      <c r="O713" s="10"/>
      <c r="P713" s="10"/>
    </row>
    <row r="714" spans="1:16" x14ac:dyDescent="0.25">
      <c r="A714" s="1"/>
      <c r="B714" s="10"/>
      <c r="C714" s="42"/>
      <c r="D714" s="43"/>
      <c r="E714" s="10"/>
      <c r="F714" s="42"/>
      <c r="G714" s="43"/>
      <c r="H714" s="10"/>
      <c r="I714" s="10"/>
      <c r="J714" s="42"/>
      <c r="K714" s="43"/>
      <c r="L714" s="43"/>
      <c r="M714" s="10"/>
      <c r="N714" s="10"/>
      <c r="O714" s="10"/>
      <c r="P714" s="10"/>
    </row>
    <row r="715" spans="1:16" x14ac:dyDescent="0.25">
      <c r="A715" s="1"/>
      <c r="B715" s="10"/>
      <c r="C715" s="42"/>
      <c r="D715" s="43"/>
      <c r="E715" s="10"/>
      <c r="F715" s="42"/>
      <c r="G715" s="43"/>
      <c r="H715" s="10"/>
      <c r="I715" s="10"/>
      <c r="J715" s="42"/>
      <c r="K715" s="43"/>
      <c r="L715" s="43"/>
      <c r="M715" s="10"/>
      <c r="N715" s="10"/>
      <c r="O715" s="10"/>
      <c r="P715" s="10"/>
    </row>
    <row r="716" spans="1:16" x14ac:dyDescent="0.25">
      <c r="A716" s="1"/>
      <c r="B716" s="10"/>
      <c r="C716" s="42"/>
      <c r="D716" s="43"/>
      <c r="E716" s="10"/>
      <c r="F716" s="42"/>
      <c r="G716" s="43"/>
      <c r="H716" s="10"/>
      <c r="I716" s="10"/>
      <c r="J716" s="42"/>
      <c r="K716" s="43"/>
      <c r="L716" s="43"/>
      <c r="M716" s="10"/>
      <c r="N716" s="10"/>
      <c r="O716" s="10"/>
      <c r="P716" s="10"/>
    </row>
    <row r="717" spans="1:16" x14ac:dyDescent="0.25">
      <c r="A717" s="1"/>
      <c r="B717" s="10"/>
      <c r="C717" s="42"/>
      <c r="D717" s="43"/>
      <c r="E717" s="10"/>
      <c r="F717" s="42"/>
      <c r="G717" s="43"/>
      <c r="H717" s="10"/>
      <c r="I717" s="10"/>
      <c r="J717" s="42"/>
      <c r="K717" s="43"/>
      <c r="L717" s="43"/>
      <c r="M717" s="10"/>
      <c r="N717" s="10"/>
      <c r="O717" s="10"/>
      <c r="P717" s="10"/>
    </row>
    <row r="718" spans="1:16" x14ac:dyDescent="0.25">
      <c r="A718" s="1"/>
      <c r="B718" s="10"/>
      <c r="C718" s="42"/>
      <c r="D718" s="43"/>
      <c r="E718" s="10"/>
      <c r="F718" s="42"/>
      <c r="G718" s="43"/>
      <c r="H718" s="10"/>
      <c r="I718" s="10"/>
      <c r="J718" s="42"/>
      <c r="K718" s="43"/>
      <c r="L718" s="43"/>
      <c r="M718" s="10"/>
      <c r="N718" s="10"/>
      <c r="O718" s="10"/>
      <c r="P718" s="10"/>
    </row>
    <row r="719" spans="1:16" x14ac:dyDescent="0.25">
      <c r="A719" s="1"/>
      <c r="B719" s="10"/>
      <c r="C719" s="42"/>
      <c r="D719" s="43"/>
      <c r="E719" s="10"/>
      <c r="F719" s="42"/>
      <c r="G719" s="43"/>
      <c r="H719" s="10"/>
      <c r="I719" s="10"/>
      <c r="J719" s="42"/>
      <c r="K719" s="43"/>
      <c r="L719" s="43"/>
      <c r="M719" s="10"/>
      <c r="N719" s="10"/>
      <c r="O719" s="10"/>
      <c r="P719" s="10"/>
    </row>
    <row r="720" spans="1:16" x14ac:dyDescent="0.25">
      <c r="A720" s="1"/>
      <c r="B720" s="10"/>
      <c r="C720" s="42"/>
      <c r="D720" s="43"/>
      <c r="E720" s="10"/>
      <c r="F720" s="42"/>
      <c r="G720" s="43"/>
      <c r="H720" s="10"/>
      <c r="I720" s="10"/>
      <c r="J720" s="42"/>
      <c r="K720" s="43"/>
      <c r="L720" s="43"/>
      <c r="M720" s="10"/>
      <c r="N720" s="10"/>
      <c r="O720" s="10"/>
      <c r="P720" s="10"/>
    </row>
    <row r="721" spans="1:16" x14ac:dyDescent="0.25">
      <c r="A721" s="1"/>
      <c r="B721" s="10"/>
      <c r="C721" s="42"/>
      <c r="D721" s="43"/>
      <c r="E721" s="10"/>
      <c r="F721" s="42"/>
      <c r="G721" s="43"/>
      <c r="H721" s="10"/>
      <c r="I721" s="10"/>
      <c r="J721" s="42"/>
      <c r="K721" s="43"/>
      <c r="L721" s="43"/>
      <c r="M721" s="10"/>
      <c r="N721" s="10"/>
      <c r="O721" s="10"/>
      <c r="P721" s="10"/>
    </row>
    <row r="722" spans="1:16" x14ac:dyDescent="0.25">
      <c r="A722" s="1"/>
      <c r="B722" s="10"/>
      <c r="C722" s="42"/>
      <c r="D722" s="43"/>
      <c r="E722" s="10"/>
      <c r="F722" s="42"/>
      <c r="G722" s="43"/>
      <c r="H722" s="10"/>
      <c r="I722" s="10"/>
      <c r="J722" s="42"/>
      <c r="K722" s="43"/>
      <c r="L722" s="43"/>
      <c r="M722" s="10"/>
      <c r="N722" s="10"/>
      <c r="O722" s="10"/>
      <c r="P722" s="10"/>
    </row>
    <row r="723" spans="1:16" x14ac:dyDescent="0.25">
      <c r="A723" s="1"/>
      <c r="B723" s="10"/>
      <c r="C723" s="42"/>
      <c r="D723" s="43"/>
      <c r="E723" s="10"/>
      <c r="F723" s="42"/>
      <c r="G723" s="43"/>
      <c r="H723" s="10"/>
      <c r="I723" s="10"/>
      <c r="J723" s="42"/>
      <c r="K723" s="43"/>
      <c r="L723" s="43"/>
      <c r="M723" s="10"/>
      <c r="N723" s="10"/>
      <c r="O723" s="10"/>
      <c r="P723" s="10"/>
    </row>
    <row r="724" spans="1:16" x14ac:dyDescent="0.25">
      <c r="A724" s="1"/>
      <c r="B724" s="10"/>
      <c r="C724" s="42"/>
      <c r="D724" s="43"/>
      <c r="E724" s="10"/>
      <c r="F724" s="42"/>
      <c r="G724" s="43"/>
      <c r="H724" s="10"/>
      <c r="I724" s="10"/>
      <c r="J724" s="42"/>
      <c r="K724" s="43"/>
      <c r="L724" s="43"/>
      <c r="M724" s="10"/>
      <c r="N724" s="10"/>
      <c r="O724" s="10"/>
      <c r="P724" s="10"/>
    </row>
    <row r="725" spans="1:16" x14ac:dyDescent="0.25">
      <c r="A725" s="1"/>
      <c r="B725" s="10"/>
      <c r="C725" s="42"/>
      <c r="D725" s="43"/>
      <c r="E725" s="10"/>
      <c r="F725" s="42"/>
      <c r="G725" s="43"/>
      <c r="H725" s="10"/>
      <c r="I725" s="10"/>
      <c r="J725" s="42"/>
      <c r="K725" s="43"/>
      <c r="L725" s="43"/>
      <c r="M725" s="10"/>
      <c r="N725" s="10"/>
      <c r="O725" s="10"/>
      <c r="P725" s="10"/>
    </row>
    <row r="726" spans="1:16" x14ac:dyDescent="0.25">
      <c r="A726" s="1"/>
      <c r="B726" s="10"/>
      <c r="C726" s="42"/>
      <c r="D726" s="43"/>
      <c r="E726" s="10"/>
      <c r="F726" s="42"/>
      <c r="G726" s="43"/>
      <c r="H726" s="10"/>
      <c r="I726" s="10"/>
      <c r="J726" s="42"/>
      <c r="K726" s="43"/>
      <c r="L726" s="43"/>
      <c r="M726" s="10"/>
      <c r="N726" s="10"/>
      <c r="O726" s="10"/>
      <c r="P726" s="10"/>
    </row>
    <row r="727" spans="1:16" x14ac:dyDescent="0.25">
      <c r="A727" s="1"/>
      <c r="B727" s="10"/>
      <c r="C727" s="42"/>
      <c r="D727" s="43"/>
      <c r="E727" s="10"/>
      <c r="F727" s="42"/>
      <c r="G727" s="43"/>
      <c r="H727" s="10"/>
      <c r="I727" s="10"/>
      <c r="J727" s="42"/>
      <c r="K727" s="43"/>
      <c r="L727" s="43"/>
      <c r="M727" s="10"/>
      <c r="N727" s="10"/>
      <c r="O727" s="10"/>
      <c r="P727" s="10"/>
    </row>
    <row r="728" spans="1:16" x14ac:dyDescent="0.25">
      <c r="A728" s="1"/>
      <c r="B728" s="10"/>
      <c r="C728" s="42"/>
      <c r="D728" s="43"/>
      <c r="E728" s="10"/>
      <c r="F728" s="42"/>
      <c r="G728" s="43"/>
      <c r="H728" s="10"/>
      <c r="I728" s="10"/>
      <c r="J728" s="42"/>
      <c r="K728" s="43"/>
      <c r="L728" s="43"/>
      <c r="M728" s="10"/>
      <c r="N728" s="10"/>
      <c r="O728" s="10"/>
      <c r="P728" s="10"/>
    </row>
    <row r="729" spans="1:16" x14ac:dyDescent="0.25">
      <c r="A729" s="1"/>
      <c r="B729" s="10"/>
      <c r="C729" s="42"/>
      <c r="D729" s="43"/>
      <c r="E729" s="10"/>
      <c r="F729" s="42"/>
      <c r="G729" s="43"/>
      <c r="H729" s="10"/>
      <c r="I729" s="10"/>
      <c r="J729" s="42"/>
      <c r="K729" s="43"/>
      <c r="L729" s="43"/>
      <c r="M729" s="10"/>
      <c r="N729" s="10"/>
      <c r="O729" s="10"/>
      <c r="P729" s="10"/>
    </row>
    <row r="730" spans="1:16" x14ac:dyDescent="0.25">
      <c r="A730" s="1"/>
      <c r="B730" s="10"/>
      <c r="C730" s="42"/>
      <c r="D730" s="43"/>
      <c r="E730" s="10"/>
      <c r="F730" s="42"/>
      <c r="G730" s="43"/>
      <c r="H730" s="10"/>
      <c r="I730" s="10"/>
      <c r="J730" s="42"/>
      <c r="K730" s="43"/>
      <c r="L730" s="43"/>
      <c r="M730" s="10"/>
      <c r="N730" s="10"/>
      <c r="O730" s="10"/>
      <c r="P730" s="10"/>
    </row>
    <row r="731" spans="1:16" x14ac:dyDescent="0.25">
      <c r="A731" s="1"/>
      <c r="B731" s="10"/>
      <c r="C731" s="42"/>
      <c r="D731" s="43"/>
      <c r="E731" s="10"/>
      <c r="F731" s="42"/>
      <c r="G731" s="43"/>
      <c r="H731" s="10"/>
      <c r="I731" s="10"/>
      <c r="J731" s="42"/>
      <c r="K731" s="43"/>
      <c r="L731" s="43"/>
      <c r="M731" s="10"/>
      <c r="N731" s="10"/>
      <c r="O731" s="10"/>
      <c r="P731" s="10"/>
    </row>
    <row r="732" spans="1:16" x14ac:dyDescent="0.25">
      <c r="A732" s="1"/>
      <c r="B732" s="10"/>
      <c r="C732" s="42"/>
      <c r="D732" s="43"/>
      <c r="E732" s="10"/>
      <c r="F732" s="42"/>
      <c r="G732" s="43"/>
      <c r="H732" s="10"/>
      <c r="I732" s="10"/>
      <c r="J732" s="42"/>
      <c r="K732" s="43"/>
      <c r="L732" s="43"/>
      <c r="M732" s="10"/>
      <c r="N732" s="10"/>
      <c r="O732" s="10"/>
      <c r="P732" s="10"/>
    </row>
    <row r="733" spans="1:16" x14ac:dyDescent="0.25">
      <c r="A733" s="1"/>
      <c r="B733" s="10"/>
      <c r="C733" s="42"/>
      <c r="D733" s="43"/>
      <c r="E733" s="10"/>
      <c r="F733" s="42"/>
      <c r="G733" s="43"/>
      <c r="H733" s="10"/>
      <c r="I733" s="10"/>
      <c r="J733" s="42"/>
      <c r="K733" s="43"/>
      <c r="L733" s="43"/>
      <c r="M733" s="10"/>
      <c r="N733" s="10"/>
      <c r="O733" s="10"/>
      <c r="P733" s="10"/>
    </row>
    <row r="734" spans="1:16" x14ac:dyDescent="0.25">
      <c r="A734" s="1"/>
      <c r="B734" s="10"/>
      <c r="C734" s="42"/>
      <c r="D734" s="43"/>
      <c r="E734" s="10"/>
      <c r="F734" s="42"/>
      <c r="G734" s="43"/>
      <c r="H734" s="10"/>
      <c r="I734" s="10"/>
      <c r="J734" s="42"/>
      <c r="K734" s="43"/>
      <c r="L734" s="43"/>
      <c r="M734" s="10"/>
      <c r="N734" s="10"/>
      <c r="O734" s="10"/>
      <c r="P734" s="10"/>
    </row>
    <row r="735" spans="1:16" x14ac:dyDescent="0.25">
      <c r="A735" s="1"/>
      <c r="B735" s="10"/>
      <c r="C735" s="42"/>
      <c r="D735" s="43"/>
      <c r="E735" s="10"/>
      <c r="F735" s="42"/>
      <c r="G735" s="43"/>
      <c r="H735" s="10"/>
      <c r="I735" s="10"/>
      <c r="J735" s="42"/>
      <c r="K735" s="43"/>
      <c r="L735" s="43"/>
      <c r="M735" s="10"/>
      <c r="N735" s="10"/>
      <c r="O735" s="10"/>
      <c r="P735" s="10"/>
    </row>
    <row r="736" spans="1:16" x14ac:dyDescent="0.25">
      <c r="A736" s="1"/>
      <c r="B736" s="10"/>
      <c r="C736" s="42"/>
      <c r="D736" s="43"/>
      <c r="E736" s="10"/>
      <c r="F736" s="42"/>
      <c r="G736" s="43"/>
      <c r="H736" s="10"/>
      <c r="I736" s="10"/>
      <c r="J736" s="42"/>
      <c r="K736" s="43"/>
      <c r="L736" s="43"/>
      <c r="M736" s="10"/>
      <c r="N736" s="10"/>
      <c r="O736" s="10"/>
      <c r="P736" s="10"/>
    </row>
    <row r="737" spans="1:16" x14ac:dyDescent="0.25">
      <c r="A737" s="1"/>
      <c r="B737" s="10"/>
      <c r="C737" s="42"/>
      <c r="D737" s="43"/>
      <c r="E737" s="10"/>
      <c r="F737" s="42"/>
      <c r="G737" s="43"/>
      <c r="H737" s="10"/>
      <c r="I737" s="10"/>
      <c r="J737" s="42"/>
      <c r="K737" s="43"/>
      <c r="L737" s="43"/>
      <c r="M737" s="10"/>
      <c r="N737" s="10"/>
      <c r="O737" s="10"/>
      <c r="P737" s="10"/>
    </row>
    <row r="738" spans="1:16" x14ac:dyDescent="0.25">
      <c r="A738" s="1"/>
      <c r="B738" s="10"/>
      <c r="C738" s="42"/>
      <c r="D738" s="43"/>
      <c r="E738" s="10"/>
      <c r="F738" s="42"/>
      <c r="G738" s="43"/>
      <c r="H738" s="10"/>
      <c r="I738" s="10"/>
      <c r="J738" s="42"/>
      <c r="K738" s="43"/>
      <c r="L738" s="43"/>
      <c r="M738" s="10"/>
      <c r="N738" s="10"/>
      <c r="O738" s="10"/>
      <c r="P738" s="10"/>
    </row>
    <row r="739" spans="1:16" x14ac:dyDescent="0.25">
      <c r="A739" s="1"/>
      <c r="B739" s="10"/>
      <c r="C739" s="42"/>
      <c r="D739" s="43"/>
      <c r="E739" s="10"/>
      <c r="F739" s="42"/>
      <c r="G739" s="43"/>
      <c r="H739" s="10"/>
      <c r="I739" s="10"/>
      <c r="J739" s="42"/>
      <c r="K739" s="43"/>
      <c r="L739" s="43"/>
      <c r="M739" s="10"/>
      <c r="N739" s="10"/>
      <c r="O739" s="10"/>
      <c r="P739" s="10"/>
    </row>
    <row r="740" spans="1:16" x14ac:dyDescent="0.25">
      <c r="A740" s="1"/>
      <c r="B740" s="10"/>
      <c r="C740" s="42"/>
      <c r="D740" s="43"/>
      <c r="E740" s="10"/>
      <c r="F740" s="42"/>
      <c r="G740" s="43"/>
      <c r="H740" s="10"/>
      <c r="I740" s="10"/>
      <c r="J740" s="42"/>
      <c r="K740" s="43"/>
      <c r="L740" s="43"/>
      <c r="M740" s="10"/>
      <c r="N740" s="10"/>
      <c r="O740" s="10"/>
      <c r="P740" s="10"/>
    </row>
    <row r="741" spans="1:16" x14ac:dyDescent="0.25">
      <c r="A741" s="1"/>
      <c r="B741" s="10"/>
      <c r="C741" s="42"/>
      <c r="D741" s="43"/>
      <c r="E741" s="10"/>
      <c r="F741" s="42"/>
      <c r="G741" s="43"/>
      <c r="H741" s="10"/>
      <c r="I741" s="10"/>
      <c r="J741" s="42"/>
      <c r="K741" s="43"/>
      <c r="L741" s="43"/>
      <c r="M741" s="10"/>
      <c r="N741" s="10"/>
      <c r="O741" s="10"/>
      <c r="P741" s="10"/>
    </row>
    <row r="742" spans="1:16" x14ac:dyDescent="0.25">
      <c r="A742" s="1"/>
      <c r="B742" s="10"/>
      <c r="C742" s="42"/>
      <c r="D742" s="43"/>
      <c r="E742" s="10"/>
      <c r="F742" s="42"/>
      <c r="G742" s="43"/>
      <c r="H742" s="10"/>
      <c r="I742" s="10"/>
      <c r="J742" s="42"/>
      <c r="K742" s="43"/>
      <c r="L742" s="43"/>
      <c r="M742" s="10"/>
      <c r="N742" s="10"/>
      <c r="O742" s="10"/>
      <c r="P742" s="10"/>
    </row>
    <row r="743" spans="1:16" x14ac:dyDescent="0.25">
      <c r="A743" s="1"/>
      <c r="B743" s="10"/>
      <c r="C743" s="42"/>
      <c r="D743" s="43"/>
      <c r="E743" s="10"/>
      <c r="F743" s="42"/>
      <c r="G743" s="43"/>
      <c r="H743" s="10"/>
      <c r="I743" s="10"/>
      <c r="J743" s="42"/>
      <c r="K743" s="43"/>
      <c r="L743" s="43"/>
      <c r="M743" s="10"/>
      <c r="N743" s="10"/>
      <c r="O743" s="10"/>
      <c r="P743" s="10"/>
    </row>
    <row r="744" spans="1:16" x14ac:dyDescent="0.25">
      <c r="A744" s="1"/>
      <c r="B744" s="10"/>
      <c r="C744" s="42"/>
      <c r="D744" s="43"/>
      <c r="E744" s="10"/>
      <c r="F744" s="42"/>
      <c r="G744" s="43"/>
      <c r="H744" s="10"/>
      <c r="I744" s="10"/>
      <c r="J744" s="42"/>
      <c r="K744" s="43"/>
      <c r="L744" s="43"/>
      <c r="M744" s="10"/>
      <c r="N744" s="10"/>
      <c r="O744" s="10"/>
      <c r="P744" s="10"/>
    </row>
    <row r="745" spans="1:16" x14ac:dyDescent="0.25">
      <c r="A745" s="1"/>
      <c r="B745" s="10"/>
      <c r="C745" s="42"/>
      <c r="D745" s="43"/>
      <c r="E745" s="10"/>
      <c r="F745" s="42"/>
      <c r="G745" s="43"/>
      <c r="H745" s="10"/>
      <c r="I745" s="10"/>
      <c r="J745" s="42"/>
      <c r="K745" s="43"/>
      <c r="L745" s="43"/>
      <c r="M745" s="10"/>
      <c r="N745" s="10"/>
      <c r="O745" s="10"/>
      <c r="P745" s="10"/>
    </row>
    <row r="746" spans="1:16" x14ac:dyDescent="0.25">
      <c r="A746" s="1"/>
      <c r="B746" s="10"/>
      <c r="C746" s="42"/>
      <c r="D746" s="43"/>
      <c r="E746" s="10"/>
      <c r="F746" s="42"/>
      <c r="G746" s="43"/>
      <c r="H746" s="10"/>
      <c r="I746" s="10"/>
      <c r="J746" s="42"/>
      <c r="K746" s="43"/>
      <c r="L746" s="43"/>
      <c r="M746" s="10"/>
      <c r="N746" s="10"/>
      <c r="O746" s="10"/>
      <c r="P746" s="10"/>
    </row>
    <row r="747" spans="1:16" x14ac:dyDescent="0.25">
      <c r="A747" s="1"/>
      <c r="B747" s="10"/>
      <c r="C747" s="42"/>
      <c r="D747" s="43"/>
      <c r="E747" s="10"/>
      <c r="F747" s="42"/>
      <c r="G747" s="43"/>
      <c r="H747" s="10"/>
      <c r="I747" s="10"/>
      <c r="J747" s="42"/>
      <c r="K747" s="43"/>
      <c r="L747" s="43"/>
      <c r="M747" s="10"/>
      <c r="N747" s="10"/>
      <c r="O747" s="10"/>
      <c r="P747" s="10"/>
    </row>
    <row r="748" spans="1:16" x14ac:dyDescent="0.25">
      <c r="A748" s="1"/>
      <c r="B748" s="10"/>
      <c r="C748" s="42"/>
      <c r="D748" s="43"/>
      <c r="E748" s="10"/>
      <c r="F748" s="42"/>
      <c r="G748" s="43"/>
      <c r="H748" s="10"/>
      <c r="I748" s="10"/>
      <c r="J748" s="42"/>
      <c r="K748" s="43"/>
      <c r="L748" s="43"/>
      <c r="M748" s="10"/>
      <c r="N748" s="10"/>
      <c r="O748" s="10"/>
      <c r="P748" s="10"/>
    </row>
    <row r="749" spans="1:16" x14ac:dyDescent="0.25">
      <c r="A749" s="1"/>
      <c r="B749" s="10"/>
      <c r="C749" s="42"/>
      <c r="D749" s="43"/>
      <c r="E749" s="10"/>
      <c r="F749" s="42"/>
      <c r="G749" s="43"/>
      <c r="H749" s="10"/>
      <c r="I749" s="10"/>
      <c r="J749" s="42"/>
      <c r="K749" s="43"/>
      <c r="L749" s="43"/>
      <c r="M749" s="10"/>
      <c r="N749" s="10"/>
      <c r="O749" s="10"/>
      <c r="P749" s="10"/>
    </row>
    <row r="750" spans="1:16" x14ac:dyDescent="0.25">
      <c r="A750" s="1"/>
      <c r="B750" s="10"/>
      <c r="C750" s="42"/>
      <c r="D750" s="43"/>
      <c r="E750" s="10"/>
      <c r="F750" s="42"/>
      <c r="G750" s="43"/>
      <c r="H750" s="10"/>
      <c r="I750" s="10"/>
      <c r="J750" s="42"/>
      <c r="K750" s="43"/>
      <c r="L750" s="43"/>
      <c r="M750" s="10"/>
      <c r="N750" s="10"/>
      <c r="O750" s="10"/>
      <c r="P750" s="10"/>
    </row>
    <row r="751" spans="1:16" x14ac:dyDescent="0.25">
      <c r="A751" s="1"/>
      <c r="B751" s="10"/>
      <c r="C751" s="42"/>
      <c r="D751" s="43"/>
      <c r="E751" s="10"/>
      <c r="F751" s="42"/>
      <c r="G751" s="43"/>
      <c r="H751" s="10"/>
      <c r="I751" s="10"/>
      <c r="J751" s="42"/>
      <c r="K751" s="43"/>
      <c r="L751" s="43"/>
      <c r="M751" s="10"/>
      <c r="N751" s="10"/>
      <c r="O751" s="10"/>
      <c r="P751" s="10"/>
    </row>
    <row r="752" spans="1:16" x14ac:dyDescent="0.25">
      <c r="A752" s="1"/>
      <c r="B752" s="10"/>
      <c r="C752" s="42"/>
      <c r="D752" s="43"/>
      <c r="E752" s="10"/>
      <c r="F752" s="42"/>
      <c r="G752" s="43"/>
      <c r="H752" s="10"/>
      <c r="I752" s="10"/>
      <c r="J752" s="42"/>
      <c r="K752" s="43"/>
      <c r="L752" s="43"/>
      <c r="M752" s="10"/>
      <c r="N752" s="10"/>
      <c r="O752" s="10"/>
      <c r="P752" s="10"/>
    </row>
    <row r="753" spans="1:16" x14ac:dyDescent="0.25">
      <c r="A753" s="1"/>
      <c r="B753" s="10"/>
      <c r="C753" s="42"/>
      <c r="D753" s="43"/>
      <c r="E753" s="10"/>
      <c r="F753" s="42"/>
      <c r="G753" s="43"/>
      <c r="H753" s="10"/>
      <c r="I753" s="10"/>
      <c r="J753" s="42"/>
      <c r="K753" s="43"/>
      <c r="L753" s="43"/>
      <c r="M753" s="10"/>
      <c r="N753" s="10"/>
      <c r="O753" s="10"/>
      <c r="P753" s="10"/>
    </row>
    <row r="754" spans="1:16" x14ac:dyDescent="0.25">
      <c r="A754" s="1"/>
      <c r="B754" s="10"/>
      <c r="C754" s="42"/>
      <c r="D754" s="43"/>
      <c r="E754" s="10"/>
      <c r="F754" s="42"/>
      <c r="G754" s="43"/>
      <c r="H754" s="10"/>
      <c r="I754" s="10"/>
      <c r="J754" s="42"/>
      <c r="K754" s="43"/>
      <c r="L754" s="43"/>
      <c r="M754" s="10"/>
      <c r="N754" s="10"/>
      <c r="O754" s="10"/>
      <c r="P754" s="10"/>
    </row>
    <row r="755" spans="1:16" x14ac:dyDescent="0.25">
      <c r="A755" s="1"/>
      <c r="B755" s="10"/>
      <c r="C755" s="42"/>
      <c r="D755" s="43"/>
      <c r="E755" s="10"/>
      <c r="F755" s="42"/>
      <c r="G755" s="43"/>
      <c r="H755" s="10"/>
      <c r="I755" s="10"/>
      <c r="J755" s="42"/>
      <c r="K755" s="43"/>
      <c r="L755" s="43"/>
      <c r="M755" s="10"/>
      <c r="N755" s="10"/>
      <c r="O755" s="10"/>
      <c r="P755" s="10"/>
    </row>
    <row r="756" spans="1:16" x14ac:dyDescent="0.25">
      <c r="A756" s="1"/>
      <c r="B756" s="10"/>
      <c r="C756" s="42"/>
      <c r="D756" s="43"/>
      <c r="E756" s="10"/>
      <c r="F756" s="42"/>
      <c r="G756" s="43"/>
      <c r="H756" s="10"/>
      <c r="I756" s="10"/>
      <c r="J756" s="42"/>
      <c r="K756" s="43"/>
      <c r="L756" s="43"/>
      <c r="M756" s="10"/>
      <c r="N756" s="10"/>
      <c r="O756" s="10"/>
      <c r="P756" s="10"/>
    </row>
    <row r="757" spans="1:16" x14ac:dyDescent="0.25">
      <c r="A757" s="1"/>
      <c r="B757" s="10"/>
      <c r="C757" s="42"/>
      <c r="D757" s="43"/>
      <c r="E757" s="10"/>
      <c r="F757" s="42"/>
      <c r="G757" s="43"/>
      <c r="H757" s="10"/>
      <c r="I757" s="10"/>
      <c r="J757" s="42"/>
      <c r="K757" s="43"/>
      <c r="L757" s="43"/>
      <c r="M757" s="10"/>
      <c r="N757" s="10"/>
      <c r="O757" s="10"/>
      <c r="P757" s="10"/>
    </row>
    <row r="758" spans="1:16" x14ac:dyDescent="0.25">
      <c r="A758" s="1"/>
      <c r="B758" s="10"/>
      <c r="C758" s="42"/>
      <c r="D758" s="43"/>
      <c r="E758" s="10"/>
      <c r="F758" s="42"/>
      <c r="G758" s="43"/>
      <c r="H758" s="10"/>
      <c r="I758" s="10"/>
      <c r="J758" s="42"/>
      <c r="K758" s="43"/>
      <c r="L758" s="43"/>
      <c r="M758" s="10"/>
      <c r="N758" s="10"/>
      <c r="O758" s="10"/>
      <c r="P758" s="10"/>
    </row>
    <row r="759" spans="1:16" x14ac:dyDescent="0.25">
      <c r="A759" s="1"/>
      <c r="B759" s="10"/>
      <c r="C759" s="42"/>
      <c r="D759" s="43"/>
      <c r="E759" s="10"/>
      <c r="F759" s="42"/>
      <c r="G759" s="43"/>
      <c r="H759" s="10"/>
      <c r="I759" s="10"/>
      <c r="J759" s="42"/>
      <c r="K759" s="43"/>
      <c r="L759" s="43"/>
      <c r="M759" s="10"/>
      <c r="N759" s="10"/>
      <c r="O759" s="10"/>
      <c r="P759" s="10"/>
    </row>
    <row r="760" spans="1:16" x14ac:dyDescent="0.25">
      <c r="A760" s="1"/>
      <c r="B760" s="10"/>
      <c r="C760" s="42"/>
      <c r="D760" s="43"/>
      <c r="E760" s="10"/>
      <c r="F760" s="42"/>
      <c r="G760" s="43"/>
      <c r="H760" s="10"/>
      <c r="I760" s="10"/>
      <c r="J760" s="42"/>
      <c r="K760" s="43"/>
      <c r="L760" s="43"/>
      <c r="M760" s="10"/>
      <c r="N760" s="10"/>
      <c r="O760" s="10"/>
      <c r="P760" s="10"/>
    </row>
    <row r="761" spans="1:16" x14ac:dyDescent="0.25">
      <c r="A761" s="1"/>
      <c r="B761" s="10"/>
      <c r="C761" s="42"/>
      <c r="D761" s="43"/>
      <c r="E761" s="10"/>
      <c r="F761" s="42"/>
      <c r="G761" s="43"/>
      <c r="H761" s="10"/>
      <c r="I761" s="10"/>
      <c r="J761" s="42"/>
      <c r="K761" s="43"/>
      <c r="L761" s="43"/>
      <c r="M761" s="10"/>
      <c r="N761" s="10"/>
      <c r="O761" s="10"/>
      <c r="P761" s="10"/>
    </row>
    <row r="762" spans="1:16" x14ac:dyDescent="0.25">
      <c r="A762" s="1"/>
      <c r="B762" s="10"/>
      <c r="C762" s="42"/>
      <c r="D762" s="43"/>
      <c r="E762" s="10"/>
      <c r="F762" s="42"/>
      <c r="G762" s="43"/>
      <c r="H762" s="10"/>
      <c r="I762" s="10"/>
      <c r="J762" s="42"/>
      <c r="K762" s="43"/>
      <c r="L762" s="43"/>
      <c r="M762" s="10"/>
      <c r="N762" s="10"/>
      <c r="O762" s="10"/>
      <c r="P762" s="10"/>
    </row>
    <row r="763" spans="1:16" x14ac:dyDescent="0.25">
      <c r="A763" s="1"/>
      <c r="B763" s="10"/>
      <c r="C763" s="42"/>
      <c r="D763" s="43"/>
      <c r="E763" s="10"/>
      <c r="F763" s="42"/>
      <c r="G763" s="43"/>
      <c r="H763" s="10"/>
      <c r="I763" s="10"/>
      <c r="J763" s="42"/>
      <c r="K763" s="43"/>
      <c r="L763" s="43"/>
      <c r="M763" s="10"/>
      <c r="N763" s="10"/>
      <c r="O763" s="10"/>
      <c r="P763" s="10"/>
    </row>
    <row r="764" spans="1:16" x14ac:dyDescent="0.25">
      <c r="A764" s="1"/>
      <c r="B764" s="10"/>
      <c r="C764" s="42"/>
      <c r="D764" s="43"/>
      <c r="E764" s="10"/>
      <c r="F764" s="42"/>
      <c r="G764" s="43"/>
      <c r="H764" s="10"/>
      <c r="I764" s="10"/>
      <c r="J764" s="42"/>
      <c r="K764" s="43"/>
      <c r="L764" s="43"/>
      <c r="M764" s="10"/>
      <c r="N764" s="10"/>
      <c r="O764" s="10"/>
      <c r="P764" s="10"/>
    </row>
    <row r="765" spans="1:16" x14ac:dyDescent="0.25">
      <c r="A765" s="1"/>
      <c r="B765" s="10"/>
      <c r="C765" s="42"/>
      <c r="D765" s="43"/>
      <c r="E765" s="10"/>
      <c r="F765" s="42"/>
      <c r="G765" s="43"/>
      <c r="H765" s="10"/>
      <c r="I765" s="10"/>
      <c r="J765" s="42"/>
      <c r="K765" s="43"/>
      <c r="L765" s="43"/>
      <c r="M765" s="10"/>
      <c r="N765" s="10"/>
      <c r="O765" s="10"/>
      <c r="P765" s="10"/>
    </row>
    <row r="766" spans="1:16" x14ac:dyDescent="0.25">
      <c r="A766" s="1"/>
      <c r="B766" s="10"/>
      <c r="C766" s="42"/>
      <c r="D766" s="43"/>
      <c r="E766" s="10"/>
      <c r="F766" s="42"/>
      <c r="G766" s="43"/>
      <c r="H766" s="10"/>
      <c r="I766" s="10"/>
      <c r="J766" s="42"/>
      <c r="K766" s="43"/>
      <c r="L766" s="43"/>
      <c r="M766" s="10"/>
      <c r="N766" s="10"/>
      <c r="O766" s="10"/>
      <c r="P766" s="10"/>
    </row>
    <row r="767" spans="1:16" x14ac:dyDescent="0.25">
      <c r="A767" s="1"/>
      <c r="B767" s="10"/>
      <c r="C767" s="42"/>
      <c r="D767" s="43"/>
      <c r="E767" s="10"/>
      <c r="F767" s="42"/>
      <c r="G767" s="43"/>
      <c r="H767" s="10"/>
      <c r="I767" s="10"/>
      <c r="J767" s="42"/>
      <c r="K767" s="43"/>
      <c r="L767" s="43"/>
      <c r="M767" s="10"/>
      <c r="N767" s="10"/>
      <c r="O767" s="10"/>
      <c r="P767" s="10"/>
    </row>
    <row r="768" spans="1:16" x14ac:dyDescent="0.25">
      <c r="A768" s="1"/>
      <c r="B768" s="10"/>
      <c r="C768" s="42"/>
      <c r="D768" s="43"/>
      <c r="E768" s="10"/>
      <c r="F768" s="42"/>
      <c r="G768" s="43"/>
      <c r="H768" s="10"/>
      <c r="I768" s="10"/>
      <c r="J768" s="42"/>
      <c r="K768" s="43"/>
      <c r="L768" s="43"/>
      <c r="M768" s="10"/>
      <c r="N768" s="10"/>
      <c r="O768" s="10"/>
      <c r="P768" s="10"/>
    </row>
    <row r="769" spans="1:16" x14ac:dyDescent="0.25">
      <c r="A769" s="1"/>
      <c r="B769" s="10"/>
      <c r="C769" s="42"/>
      <c r="D769" s="43"/>
      <c r="E769" s="10"/>
      <c r="F769" s="42"/>
      <c r="G769" s="43"/>
      <c r="H769" s="10"/>
      <c r="I769" s="10"/>
      <c r="J769" s="42"/>
      <c r="K769" s="43"/>
      <c r="L769" s="43"/>
      <c r="M769" s="10"/>
      <c r="N769" s="10"/>
      <c r="O769" s="10"/>
      <c r="P769" s="10"/>
    </row>
    <row r="770" spans="1:16" x14ac:dyDescent="0.25">
      <c r="A770" s="1"/>
      <c r="B770" s="10"/>
      <c r="C770" s="42"/>
      <c r="D770" s="43"/>
      <c r="E770" s="10"/>
      <c r="F770" s="42"/>
      <c r="G770" s="43"/>
      <c r="H770" s="10"/>
      <c r="I770" s="10"/>
      <c r="J770" s="42"/>
      <c r="K770" s="43"/>
      <c r="L770" s="43"/>
      <c r="M770" s="10"/>
      <c r="N770" s="10"/>
      <c r="O770" s="10"/>
      <c r="P770" s="10"/>
    </row>
    <row r="771" spans="1:16" x14ac:dyDescent="0.25">
      <c r="A771" s="1"/>
      <c r="B771" s="10"/>
      <c r="C771" s="42"/>
      <c r="D771" s="43"/>
      <c r="E771" s="10"/>
      <c r="F771" s="42"/>
      <c r="G771" s="43"/>
      <c r="H771" s="10"/>
      <c r="I771" s="10"/>
      <c r="J771" s="42"/>
      <c r="K771" s="43"/>
      <c r="L771" s="43"/>
      <c r="M771" s="10"/>
      <c r="N771" s="10"/>
      <c r="O771" s="10"/>
      <c r="P771" s="10"/>
    </row>
    <row r="772" spans="1:16" x14ac:dyDescent="0.25">
      <c r="A772" s="1"/>
      <c r="B772" s="10"/>
      <c r="C772" s="42"/>
      <c r="D772" s="43"/>
      <c r="E772" s="10"/>
      <c r="F772" s="42"/>
      <c r="G772" s="43"/>
      <c r="H772" s="10"/>
      <c r="I772" s="10"/>
      <c r="J772" s="42"/>
      <c r="K772" s="43"/>
      <c r="L772" s="43"/>
      <c r="M772" s="10"/>
      <c r="N772" s="10"/>
      <c r="O772" s="10"/>
      <c r="P772" s="10"/>
    </row>
    <row r="773" spans="1:16" x14ac:dyDescent="0.25">
      <c r="A773" s="1"/>
      <c r="B773" s="10"/>
      <c r="C773" s="42"/>
      <c r="D773" s="43"/>
      <c r="E773" s="10"/>
      <c r="F773" s="42"/>
      <c r="G773" s="43"/>
      <c r="H773" s="10"/>
      <c r="I773" s="10"/>
      <c r="J773" s="42"/>
      <c r="K773" s="43"/>
      <c r="L773" s="43"/>
      <c r="M773" s="10"/>
      <c r="N773" s="10"/>
      <c r="O773" s="10"/>
      <c r="P773" s="10"/>
    </row>
    <row r="774" spans="1:16" x14ac:dyDescent="0.25">
      <c r="A774" s="1"/>
      <c r="B774" s="10"/>
      <c r="C774" s="42"/>
      <c r="D774" s="43"/>
      <c r="E774" s="10"/>
      <c r="F774" s="42"/>
      <c r="G774" s="43"/>
      <c r="H774" s="10"/>
      <c r="I774" s="10"/>
      <c r="J774" s="42"/>
      <c r="K774" s="43"/>
      <c r="L774" s="43"/>
      <c r="M774" s="10"/>
      <c r="N774" s="10"/>
      <c r="O774" s="10"/>
      <c r="P774" s="10"/>
    </row>
    <row r="775" spans="1:16" x14ac:dyDescent="0.25">
      <c r="A775" s="1"/>
      <c r="B775" s="10"/>
      <c r="C775" s="42"/>
      <c r="D775" s="43"/>
      <c r="E775" s="10"/>
      <c r="F775" s="42"/>
      <c r="G775" s="43"/>
      <c r="H775" s="10"/>
      <c r="I775" s="10"/>
      <c r="J775" s="42"/>
      <c r="K775" s="43"/>
      <c r="L775" s="43"/>
      <c r="M775" s="10"/>
      <c r="N775" s="10"/>
      <c r="O775" s="10"/>
      <c r="P775" s="10"/>
    </row>
    <row r="776" spans="1:16" x14ac:dyDescent="0.25">
      <c r="A776" s="1"/>
      <c r="B776" s="10"/>
      <c r="C776" s="42"/>
      <c r="D776" s="43"/>
      <c r="E776" s="10"/>
      <c r="F776" s="42"/>
      <c r="G776" s="43"/>
      <c r="H776" s="10"/>
      <c r="I776" s="10"/>
      <c r="J776" s="42"/>
      <c r="K776" s="43"/>
      <c r="L776" s="43"/>
      <c r="M776" s="10"/>
      <c r="N776" s="10"/>
      <c r="O776" s="10"/>
      <c r="P776" s="10"/>
    </row>
    <row r="777" spans="1:16" x14ac:dyDescent="0.25">
      <c r="A777" s="1"/>
      <c r="B777" s="10"/>
      <c r="C777" s="42"/>
      <c r="D777" s="43"/>
      <c r="E777" s="10"/>
      <c r="F777" s="42"/>
      <c r="G777" s="43"/>
      <c r="H777" s="10"/>
      <c r="I777" s="10"/>
      <c r="J777" s="42"/>
      <c r="K777" s="43"/>
      <c r="L777" s="43"/>
      <c r="M777" s="10"/>
      <c r="N777" s="10"/>
      <c r="O777" s="10"/>
      <c r="P777" s="10"/>
    </row>
    <row r="778" spans="1:16" x14ac:dyDescent="0.25">
      <c r="A778" s="1"/>
      <c r="B778" s="10"/>
      <c r="C778" s="42"/>
      <c r="D778" s="43"/>
      <c r="E778" s="10"/>
      <c r="F778" s="42"/>
      <c r="G778" s="43"/>
      <c r="H778" s="10"/>
      <c r="I778" s="10"/>
      <c r="J778" s="42"/>
      <c r="K778" s="43"/>
      <c r="L778" s="43"/>
      <c r="M778" s="10"/>
      <c r="N778" s="10"/>
      <c r="O778" s="10"/>
      <c r="P778" s="10"/>
    </row>
    <row r="779" spans="1:16" x14ac:dyDescent="0.25">
      <c r="A779" s="1"/>
      <c r="B779" s="10"/>
      <c r="C779" s="42"/>
      <c r="D779" s="43"/>
      <c r="E779" s="10"/>
      <c r="F779" s="42"/>
      <c r="G779" s="43"/>
      <c r="H779" s="10"/>
      <c r="I779" s="10"/>
      <c r="J779" s="42"/>
      <c r="K779" s="43"/>
      <c r="L779" s="43"/>
      <c r="M779" s="10"/>
      <c r="N779" s="10"/>
      <c r="O779" s="10"/>
      <c r="P779" s="10"/>
    </row>
    <row r="780" spans="1:16" x14ac:dyDescent="0.25">
      <c r="A780" s="1"/>
      <c r="B780" s="10"/>
      <c r="C780" s="42"/>
      <c r="D780" s="43"/>
      <c r="E780" s="10"/>
      <c r="F780" s="42"/>
      <c r="G780" s="43"/>
      <c r="H780" s="10"/>
      <c r="I780" s="10"/>
      <c r="J780" s="42"/>
      <c r="K780" s="43"/>
      <c r="L780" s="43"/>
      <c r="M780" s="10"/>
      <c r="N780" s="10"/>
      <c r="O780" s="10"/>
      <c r="P780" s="10"/>
    </row>
    <row r="781" spans="1:16" x14ac:dyDescent="0.25">
      <c r="A781" s="1"/>
      <c r="B781" s="10"/>
      <c r="C781" s="42"/>
      <c r="D781" s="43"/>
      <c r="E781" s="10"/>
      <c r="F781" s="42"/>
      <c r="G781" s="43"/>
      <c r="H781" s="10"/>
      <c r="I781" s="10"/>
      <c r="J781" s="42"/>
      <c r="K781" s="43"/>
      <c r="L781" s="43"/>
      <c r="M781" s="10"/>
      <c r="N781" s="10"/>
      <c r="O781" s="10"/>
      <c r="P781" s="10"/>
    </row>
    <row r="782" spans="1:16" x14ac:dyDescent="0.25">
      <c r="A782" s="1"/>
      <c r="B782" s="10"/>
      <c r="C782" s="42"/>
      <c r="D782" s="43"/>
      <c r="E782" s="10"/>
      <c r="F782" s="42"/>
      <c r="G782" s="43"/>
      <c r="H782" s="10"/>
      <c r="I782" s="10"/>
      <c r="J782" s="42"/>
      <c r="K782" s="43"/>
      <c r="L782" s="43"/>
      <c r="M782" s="10"/>
      <c r="N782" s="10"/>
      <c r="O782" s="10"/>
      <c r="P782" s="10"/>
    </row>
    <row r="783" spans="1:16" x14ac:dyDescent="0.25">
      <c r="A783" s="1"/>
      <c r="B783" s="10"/>
      <c r="C783" s="42"/>
      <c r="D783" s="43"/>
      <c r="E783" s="10"/>
      <c r="F783" s="42"/>
      <c r="G783" s="43"/>
      <c r="H783" s="10"/>
      <c r="I783" s="10"/>
      <c r="J783" s="42"/>
      <c r="K783" s="43"/>
      <c r="L783" s="43"/>
      <c r="M783" s="10"/>
      <c r="N783" s="10"/>
      <c r="O783" s="10"/>
      <c r="P783" s="10"/>
    </row>
    <row r="784" spans="1:16" x14ac:dyDescent="0.25">
      <c r="A784" s="1"/>
      <c r="B784" s="10"/>
      <c r="C784" s="42"/>
      <c r="D784" s="43"/>
      <c r="E784" s="10"/>
      <c r="F784" s="42"/>
      <c r="G784" s="43"/>
      <c r="H784" s="10"/>
      <c r="I784" s="10"/>
      <c r="J784" s="42"/>
      <c r="K784" s="43"/>
      <c r="L784" s="43"/>
      <c r="M784" s="10"/>
      <c r="N784" s="10"/>
      <c r="O784" s="10"/>
      <c r="P784" s="10"/>
    </row>
    <row r="785" spans="1:16" x14ac:dyDescent="0.25">
      <c r="A785" s="1"/>
      <c r="B785" s="10"/>
      <c r="C785" s="42"/>
      <c r="D785" s="43"/>
      <c r="E785" s="10"/>
      <c r="F785" s="42"/>
      <c r="G785" s="43"/>
      <c r="H785" s="10"/>
      <c r="I785" s="10"/>
      <c r="J785" s="42"/>
      <c r="K785" s="43"/>
      <c r="L785" s="43"/>
      <c r="M785" s="10"/>
      <c r="N785" s="10"/>
      <c r="O785" s="10"/>
      <c r="P785" s="10"/>
    </row>
    <row r="786" spans="1:16" x14ac:dyDescent="0.25">
      <c r="A786" s="1"/>
      <c r="B786" s="10"/>
      <c r="C786" s="42"/>
      <c r="D786" s="43"/>
      <c r="E786" s="10"/>
      <c r="F786" s="42"/>
      <c r="G786" s="43"/>
      <c r="H786" s="10"/>
      <c r="I786" s="10"/>
      <c r="J786" s="42"/>
      <c r="K786" s="43"/>
      <c r="L786" s="43"/>
      <c r="M786" s="10"/>
      <c r="N786" s="10"/>
      <c r="O786" s="10"/>
      <c r="P786" s="10"/>
    </row>
    <row r="787" spans="1:16" x14ac:dyDescent="0.25">
      <c r="A787" s="1"/>
      <c r="B787" s="10"/>
      <c r="C787" s="42"/>
      <c r="D787" s="43"/>
      <c r="E787" s="10"/>
      <c r="F787" s="42"/>
      <c r="G787" s="43"/>
      <c r="H787" s="10"/>
      <c r="I787" s="10"/>
      <c r="J787" s="42"/>
      <c r="K787" s="43"/>
      <c r="L787" s="43"/>
      <c r="M787" s="10"/>
      <c r="N787" s="10"/>
      <c r="O787" s="10"/>
      <c r="P787" s="10"/>
    </row>
    <row r="788" spans="1:16" x14ac:dyDescent="0.25">
      <c r="A788" s="1"/>
      <c r="B788" s="10"/>
      <c r="C788" s="42"/>
      <c r="D788" s="43"/>
      <c r="E788" s="10"/>
      <c r="F788" s="42"/>
      <c r="G788" s="43"/>
      <c r="H788" s="10"/>
      <c r="I788" s="10"/>
      <c r="J788" s="42"/>
      <c r="K788" s="43"/>
      <c r="L788" s="43"/>
      <c r="M788" s="10"/>
      <c r="N788" s="10"/>
      <c r="O788" s="10"/>
      <c r="P788" s="10"/>
    </row>
    <row r="789" spans="1:16" x14ac:dyDescent="0.25">
      <c r="A789" s="1"/>
      <c r="B789" s="10"/>
      <c r="C789" s="42"/>
      <c r="D789" s="43"/>
      <c r="E789" s="10"/>
      <c r="F789" s="42"/>
      <c r="G789" s="43"/>
      <c r="H789" s="10"/>
      <c r="I789" s="10"/>
      <c r="J789" s="42"/>
      <c r="K789" s="43"/>
      <c r="L789" s="43"/>
      <c r="M789" s="10"/>
      <c r="N789" s="10"/>
      <c r="O789" s="10"/>
      <c r="P789" s="10"/>
    </row>
    <row r="790" spans="1:16" x14ac:dyDescent="0.25">
      <c r="A790" s="1"/>
      <c r="B790" s="10"/>
      <c r="C790" s="42"/>
      <c r="D790" s="43"/>
      <c r="E790" s="10"/>
      <c r="F790" s="42"/>
      <c r="G790" s="43"/>
      <c r="H790" s="10"/>
      <c r="I790" s="10"/>
      <c r="J790" s="42"/>
      <c r="K790" s="43"/>
      <c r="L790" s="43"/>
      <c r="M790" s="10"/>
      <c r="N790" s="10"/>
      <c r="O790" s="10"/>
      <c r="P790" s="10"/>
    </row>
    <row r="791" spans="1:16" x14ac:dyDescent="0.25">
      <c r="A791" s="1"/>
      <c r="B791" s="10"/>
      <c r="C791" s="42"/>
      <c r="D791" s="43"/>
      <c r="E791" s="10"/>
      <c r="F791" s="42"/>
      <c r="G791" s="43"/>
      <c r="H791" s="10"/>
      <c r="I791" s="10"/>
      <c r="J791" s="42"/>
      <c r="K791" s="43"/>
      <c r="L791" s="43"/>
      <c r="M791" s="10"/>
      <c r="N791" s="10"/>
      <c r="O791" s="10"/>
      <c r="P791" s="10"/>
    </row>
    <row r="792" spans="1:16" x14ac:dyDescent="0.25">
      <c r="A792" s="1"/>
      <c r="B792" s="10"/>
      <c r="C792" s="42"/>
      <c r="D792" s="43"/>
      <c r="E792" s="10"/>
      <c r="F792" s="42"/>
      <c r="G792" s="43"/>
      <c r="H792" s="10"/>
      <c r="I792" s="10"/>
      <c r="J792" s="42"/>
      <c r="K792" s="43"/>
      <c r="L792" s="43"/>
      <c r="M792" s="10"/>
      <c r="N792" s="10"/>
      <c r="O792" s="10"/>
      <c r="P792" s="10"/>
    </row>
    <row r="793" spans="1:16" x14ac:dyDescent="0.25">
      <c r="A793" s="1"/>
      <c r="B793" s="10"/>
      <c r="C793" s="42"/>
      <c r="D793" s="43"/>
      <c r="E793" s="10"/>
      <c r="F793" s="42"/>
      <c r="G793" s="43"/>
      <c r="H793" s="10"/>
      <c r="I793" s="10"/>
      <c r="J793" s="42"/>
      <c r="K793" s="43"/>
      <c r="L793" s="43"/>
      <c r="M793" s="10"/>
      <c r="N793" s="10"/>
      <c r="O793" s="10"/>
      <c r="P793" s="10"/>
    </row>
    <row r="794" spans="1:16" x14ac:dyDescent="0.25">
      <c r="A794" s="1"/>
      <c r="B794" s="10"/>
      <c r="C794" s="42"/>
      <c r="D794" s="43"/>
      <c r="E794" s="10"/>
      <c r="F794" s="42"/>
      <c r="G794" s="43"/>
      <c r="H794" s="10"/>
      <c r="I794" s="10"/>
      <c r="J794" s="42"/>
      <c r="K794" s="43"/>
      <c r="L794" s="43"/>
      <c r="M794" s="10"/>
      <c r="N794" s="10"/>
      <c r="O794" s="10"/>
      <c r="P794" s="10"/>
    </row>
    <row r="795" spans="1:16" x14ac:dyDescent="0.25">
      <c r="A795" s="1"/>
      <c r="B795" s="10"/>
      <c r="C795" s="42"/>
      <c r="D795" s="43"/>
      <c r="E795" s="10"/>
      <c r="F795" s="42"/>
      <c r="G795" s="43"/>
      <c r="H795" s="10"/>
      <c r="I795" s="10"/>
      <c r="J795" s="42"/>
      <c r="K795" s="43"/>
      <c r="L795" s="43"/>
      <c r="M795" s="10"/>
      <c r="N795" s="10"/>
      <c r="O795" s="10"/>
      <c r="P795" s="10"/>
    </row>
    <row r="796" spans="1:16" x14ac:dyDescent="0.25">
      <c r="A796" s="1"/>
      <c r="B796" s="10"/>
      <c r="C796" s="42"/>
      <c r="D796" s="43"/>
      <c r="E796" s="10"/>
      <c r="F796" s="42"/>
      <c r="G796" s="43"/>
      <c r="H796" s="10"/>
      <c r="I796" s="10"/>
      <c r="J796" s="42"/>
      <c r="K796" s="43"/>
      <c r="L796" s="43"/>
      <c r="M796" s="10"/>
      <c r="N796" s="10"/>
      <c r="O796" s="10"/>
      <c r="P796" s="10"/>
    </row>
    <row r="797" spans="1:16" x14ac:dyDescent="0.25">
      <c r="A797" s="1"/>
      <c r="B797" s="10"/>
      <c r="C797" s="42"/>
      <c r="D797" s="43"/>
      <c r="E797" s="10"/>
      <c r="F797" s="42"/>
      <c r="G797" s="43"/>
      <c r="H797" s="10"/>
      <c r="I797" s="10"/>
      <c r="J797" s="42"/>
      <c r="K797" s="43"/>
      <c r="L797" s="43"/>
      <c r="M797" s="10"/>
      <c r="N797" s="10"/>
      <c r="O797" s="10"/>
      <c r="P797" s="10"/>
    </row>
    <row r="798" spans="1:16" x14ac:dyDescent="0.25">
      <c r="A798" s="1"/>
      <c r="B798" s="10"/>
      <c r="C798" s="42"/>
      <c r="D798" s="43"/>
      <c r="E798" s="10"/>
      <c r="F798" s="42"/>
      <c r="G798" s="43"/>
      <c r="H798" s="10"/>
      <c r="I798" s="10"/>
      <c r="J798" s="42"/>
      <c r="K798" s="43"/>
      <c r="L798" s="43"/>
      <c r="M798" s="10"/>
      <c r="N798" s="10"/>
      <c r="O798" s="10"/>
      <c r="P798" s="10"/>
    </row>
    <row r="799" spans="1:16" x14ac:dyDescent="0.25">
      <c r="A799" s="1"/>
      <c r="B799" s="10"/>
      <c r="C799" s="42"/>
      <c r="D799" s="43"/>
      <c r="E799" s="10"/>
      <c r="F799" s="42"/>
      <c r="G799" s="43"/>
      <c r="H799" s="10"/>
      <c r="I799" s="10"/>
      <c r="J799" s="42"/>
      <c r="K799" s="43"/>
      <c r="L799" s="43"/>
      <c r="M799" s="10"/>
      <c r="N799" s="10"/>
      <c r="O799" s="10"/>
      <c r="P799" s="10"/>
    </row>
    <row r="800" spans="1:16" x14ac:dyDescent="0.25">
      <c r="A800" s="1"/>
      <c r="B800" s="10"/>
      <c r="C800" s="42"/>
      <c r="D800" s="43"/>
      <c r="E800" s="10"/>
      <c r="F800" s="42"/>
      <c r="G800" s="43"/>
      <c r="H800" s="10"/>
      <c r="I800" s="10"/>
      <c r="J800" s="42"/>
      <c r="K800" s="43"/>
      <c r="L800" s="43"/>
      <c r="M800" s="10"/>
      <c r="N800" s="10"/>
      <c r="O800" s="10"/>
      <c r="P800" s="10"/>
    </row>
    <row r="801" spans="1:16" x14ac:dyDescent="0.25">
      <c r="A801" s="1"/>
      <c r="B801" s="10"/>
      <c r="C801" s="42"/>
      <c r="D801" s="43"/>
      <c r="E801" s="10"/>
      <c r="F801" s="42"/>
      <c r="G801" s="43"/>
      <c r="H801" s="10"/>
      <c r="I801" s="10"/>
      <c r="J801" s="42"/>
      <c r="K801" s="43"/>
      <c r="L801" s="43"/>
      <c r="M801" s="10"/>
      <c r="N801" s="10"/>
      <c r="O801" s="10"/>
      <c r="P801" s="10"/>
    </row>
    <row r="802" spans="1:16" x14ac:dyDescent="0.25">
      <c r="A802" s="1"/>
      <c r="B802" s="10"/>
      <c r="C802" s="42"/>
      <c r="D802" s="43"/>
      <c r="E802" s="10"/>
      <c r="F802" s="42"/>
      <c r="G802" s="43"/>
      <c r="H802" s="10"/>
      <c r="I802" s="10"/>
      <c r="J802" s="42"/>
      <c r="K802" s="43"/>
      <c r="L802" s="43"/>
      <c r="M802" s="10"/>
      <c r="N802" s="10"/>
      <c r="O802" s="10"/>
      <c r="P802" s="10"/>
    </row>
    <row r="803" spans="1:16" x14ac:dyDescent="0.25">
      <c r="A803" s="1"/>
      <c r="B803" s="10"/>
      <c r="C803" s="42"/>
      <c r="D803" s="43"/>
      <c r="E803" s="10"/>
      <c r="F803" s="42"/>
      <c r="G803" s="43"/>
      <c r="H803" s="10"/>
      <c r="I803" s="10"/>
      <c r="J803" s="42"/>
      <c r="K803" s="43"/>
      <c r="L803" s="43"/>
      <c r="M803" s="10"/>
      <c r="N803" s="10"/>
      <c r="O803" s="10"/>
      <c r="P803" s="10"/>
    </row>
    <row r="804" spans="1:16" x14ac:dyDescent="0.25">
      <c r="A804" s="1"/>
      <c r="B804" s="10"/>
      <c r="C804" s="42"/>
      <c r="D804" s="43"/>
      <c r="E804" s="10"/>
      <c r="F804" s="42"/>
      <c r="G804" s="43"/>
      <c r="H804" s="10"/>
      <c r="I804" s="10"/>
      <c r="J804" s="42"/>
      <c r="K804" s="43"/>
      <c r="L804" s="43"/>
      <c r="M804" s="10"/>
      <c r="N804" s="10"/>
      <c r="O804" s="10"/>
      <c r="P804" s="10"/>
    </row>
    <row r="805" spans="1:16" x14ac:dyDescent="0.25">
      <c r="A805" s="1"/>
      <c r="B805" s="10"/>
      <c r="C805" s="42"/>
      <c r="D805" s="43"/>
      <c r="E805" s="10"/>
      <c r="F805" s="42"/>
      <c r="G805" s="43"/>
      <c r="H805" s="10"/>
      <c r="I805" s="10"/>
      <c r="J805" s="42"/>
      <c r="K805" s="43"/>
      <c r="L805" s="43"/>
      <c r="M805" s="10"/>
      <c r="N805" s="10"/>
      <c r="O805" s="10"/>
      <c r="P805" s="10"/>
    </row>
    <row r="806" spans="1:16" x14ac:dyDescent="0.25">
      <c r="A806" s="1"/>
      <c r="B806" s="10"/>
      <c r="C806" s="42"/>
      <c r="D806" s="43"/>
      <c r="E806" s="10"/>
      <c r="F806" s="42"/>
      <c r="G806" s="43"/>
      <c r="H806" s="10"/>
      <c r="I806" s="10"/>
      <c r="J806" s="42"/>
      <c r="K806" s="43"/>
      <c r="L806" s="43"/>
      <c r="M806" s="10"/>
      <c r="N806" s="10"/>
      <c r="O806" s="10"/>
      <c r="P806" s="10"/>
    </row>
    <row r="807" spans="1:16" x14ac:dyDescent="0.25">
      <c r="A807" s="1"/>
      <c r="B807" s="10"/>
      <c r="C807" s="42"/>
      <c r="D807" s="43"/>
      <c r="E807" s="10"/>
      <c r="F807" s="42"/>
      <c r="G807" s="43"/>
      <c r="H807" s="10"/>
      <c r="I807" s="10"/>
      <c r="J807" s="42"/>
      <c r="K807" s="43"/>
      <c r="L807" s="43"/>
      <c r="M807" s="10"/>
      <c r="N807" s="10"/>
      <c r="O807" s="10"/>
      <c r="P807" s="10"/>
    </row>
    <row r="808" spans="1:16" x14ac:dyDescent="0.25">
      <c r="A808" s="1"/>
      <c r="B808" s="10"/>
      <c r="C808" s="42"/>
      <c r="D808" s="43"/>
      <c r="E808" s="10"/>
      <c r="F808" s="42"/>
      <c r="G808" s="43"/>
      <c r="H808" s="10"/>
      <c r="I808" s="10"/>
      <c r="J808" s="42"/>
      <c r="K808" s="43"/>
      <c r="L808" s="43"/>
      <c r="M808" s="10"/>
      <c r="N808" s="10"/>
      <c r="O808" s="10"/>
      <c r="P808" s="10"/>
    </row>
    <row r="809" spans="1:16" x14ac:dyDescent="0.25">
      <c r="A809" s="1"/>
      <c r="B809" s="10"/>
      <c r="C809" s="42"/>
      <c r="D809" s="43"/>
      <c r="E809" s="10"/>
      <c r="F809" s="42"/>
      <c r="G809" s="43"/>
      <c r="H809" s="10"/>
      <c r="I809" s="10"/>
      <c r="J809" s="42"/>
      <c r="K809" s="43"/>
      <c r="L809" s="43"/>
      <c r="M809" s="10"/>
      <c r="N809" s="10"/>
      <c r="O809" s="10"/>
      <c r="P809" s="10"/>
    </row>
    <row r="810" spans="1:16" x14ac:dyDescent="0.25">
      <c r="A810" s="1"/>
      <c r="B810" s="10"/>
      <c r="C810" s="42"/>
      <c r="D810" s="43"/>
      <c r="E810" s="10"/>
      <c r="F810" s="42"/>
      <c r="G810" s="43"/>
      <c r="H810" s="10"/>
      <c r="I810" s="10"/>
      <c r="J810" s="42"/>
      <c r="K810" s="43"/>
      <c r="L810" s="43"/>
      <c r="M810" s="10"/>
      <c r="N810" s="10"/>
      <c r="O810" s="10"/>
      <c r="P810" s="10"/>
    </row>
    <row r="811" spans="1:16" x14ac:dyDescent="0.25">
      <c r="A811" s="1"/>
      <c r="B811" s="10"/>
      <c r="C811" s="42"/>
      <c r="D811" s="43"/>
      <c r="E811" s="10"/>
      <c r="F811" s="42"/>
      <c r="G811" s="43"/>
      <c r="H811" s="10"/>
      <c r="I811" s="10"/>
      <c r="J811" s="42"/>
      <c r="K811" s="43"/>
      <c r="L811" s="43"/>
      <c r="M811" s="10"/>
      <c r="N811" s="10"/>
      <c r="O811" s="10"/>
      <c r="P811" s="10"/>
    </row>
    <row r="812" spans="1:16" x14ac:dyDescent="0.25">
      <c r="A812" s="1"/>
      <c r="B812" s="10"/>
      <c r="C812" s="42"/>
      <c r="D812" s="43"/>
      <c r="E812" s="10"/>
      <c r="F812" s="42"/>
      <c r="G812" s="43"/>
      <c r="H812" s="10"/>
      <c r="I812" s="10"/>
      <c r="J812" s="42"/>
      <c r="K812" s="43"/>
      <c r="L812" s="43"/>
      <c r="M812" s="10"/>
      <c r="N812" s="10"/>
      <c r="O812" s="10"/>
      <c r="P812" s="10"/>
    </row>
    <row r="813" spans="1:16" x14ac:dyDescent="0.25">
      <c r="A813" s="1"/>
      <c r="B813" s="10"/>
      <c r="C813" s="42"/>
      <c r="D813" s="43"/>
      <c r="E813" s="10"/>
      <c r="F813" s="42"/>
      <c r="G813" s="43"/>
      <c r="H813" s="10"/>
      <c r="I813" s="10"/>
      <c r="J813" s="42"/>
      <c r="K813" s="43"/>
      <c r="L813" s="43"/>
      <c r="M813" s="10"/>
      <c r="N813" s="10"/>
      <c r="O813" s="10"/>
      <c r="P813" s="10"/>
    </row>
    <row r="814" spans="1:16" x14ac:dyDescent="0.25">
      <c r="A814" s="1"/>
      <c r="B814" s="10"/>
      <c r="C814" s="42"/>
      <c r="D814" s="43"/>
      <c r="E814" s="10"/>
      <c r="F814" s="42"/>
      <c r="G814" s="43"/>
      <c r="H814" s="10"/>
      <c r="I814" s="10"/>
      <c r="J814" s="42"/>
      <c r="K814" s="43"/>
      <c r="L814" s="43"/>
      <c r="M814" s="10"/>
      <c r="N814" s="10"/>
      <c r="O814" s="10"/>
      <c r="P814" s="10"/>
    </row>
    <row r="815" spans="1:16" x14ac:dyDescent="0.25">
      <c r="A815" s="1"/>
      <c r="B815" s="10"/>
      <c r="C815" s="42"/>
      <c r="D815" s="43"/>
      <c r="E815" s="10"/>
      <c r="F815" s="42"/>
      <c r="G815" s="43"/>
      <c r="H815" s="10"/>
      <c r="I815" s="10"/>
      <c r="J815" s="42"/>
      <c r="K815" s="43"/>
      <c r="L815" s="43"/>
      <c r="M815" s="10"/>
      <c r="N815" s="10"/>
      <c r="O815" s="10"/>
      <c r="P815" s="10"/>
    </row>
    <row r="816" spans="1:16" x14ac:dyDescent="0.25">
      <c r="A816" s="1"/>
      <c r="B816" s="10"/>
      <c r="C816" s="42"/>
      <c r="D816" s="43"/>
      <c r="E816" s="10"/>
      <c r="F816" s="42"/>
      <c r="G816" s="43"/>
      <c r="H816" s="10"/>
      <c r="I816" s="10"/>
      <c r="J816" s="42"/>
      <c r="K816" s="43"/>
      <c r="L816" s="43"/>
      <c r="M816" s="10"/>
      <c r="N816" s="10"/>
      <c r="O816" s="10"/>
      <c r="P816" s="10"/>
    </row>
    <row r="817" spans="1:16" x14ac:dyDescent="0.25">
      <c r="A817" s="1"/>
      <c r="B817" s="10"/>
      <c r="C817" s="42"/>
      <c r="D817" s="43"/>
      <c r="E817" s="10"/>
      <c r="F817" s="42"/>
      <c r="G817" s="43"/>
      <c r="H817" s="10"/>
      <c r="I817" s="10"/>
      <c r="J817" s="42"/>
      <c r="K817" s="43"/>
      <c r="L817" s="43"/>
      <c r="M817" s="10"/>
      <c r="N817" s="10"/>
      <c r="O817" s="10"/>
      <c r="P817" s="10"/>
    </row>
    <row r="818" spans="1:16" x14ac:dyDescent="0.25">
      <c r="A818" s="1"/>
      <c r="B818" s="10"/>
      <c r="C818" s="42"/>
      <c r="D818" s="43"/>
      <c r="E818" s="10"/>
      <c r="F818" s="42"/>
      <c r="G818" s="43"/>
      <c r="H818" s="10"/>
      <c r="I818" s="10"/>
      <c r="J818" s="42"/>
      <c r="K818" s="43"/>
      <c r="L818" s="43"/>
      <c r="M818" s="10"/>
      <c r="N818" s="10"/>
      <c r="O818" s="10"/>
      <c r="P818" s="10"/>
    </row>
    <row r="819" spans="1:16" x14ac:dyDescent="0.25">
      <c r="A819" s="1"/>
      <c r="B819" s="10"/>
      <c r="C819" s="42"/>
      <c r="D819" s="43"/>
      <c r="E819" s="10"/>
      <c r="F819" s="42"/>
      <c r="G819" s="43"/>
      <c r="H819" s="10"/>
      <c r="I819" s="10"/>
      <c r="J819" s="42"/>
      <c r="K819" s="43"/>
      <c r="L819" s="43"/>
      <c r="M819" s="10"/>
      <c r="N819" s="10"/>
      <c r="O819" s="10"/>
      <c r="P819" s="10"/>
    </row>
    <row r="820" spans="1:16" x14ac:dyDescent="0.25">
      <c r="A820" s="1"/>
      <c r="B820" s="10"/>
      <c r="C820" s="42"/>
      <c r="D820" s="43"/>
      <c r="E820" s="10"/>
      <c r="F820" s="42"/>
      <c r="G820" s="43"/>
      <c r="H820" s="10"/>
      <c r="I820" s="10"/>
      <c r="J820" s="42"/>
      <c r="K820" s="43"/>
      <c r="L820" s="43"/>
      <c r="M820" s="10"/>
      <c r="N820" s="10"/>
      <c r="O820" s="10"/>
      <c r="P820" s="10"/>
    </row>
    <row r="821" spans="1:16" x14ac:dyDescent="0.25">
      <c r="A821" s="1"/>
      <c r="B821" s="10"/>
      <c r="C821" s="42"/>
      <c r="D821" s="43"/>
      <c r="E821" s="10"/>
      <c r="F821" s="42"/>
      <c r="G821" s="43"/>
      <c r="H821" s="10"/>
      <c r="I821" s="10"/>
      <c r="J821" s="42"/>
      <c r="K821" s="43"/>
      <c r="L821" s="43"/>
      <c r="M821" s="10"/>
      <c r="N821" s="10"/>
      <c r="O821" s="10"/>
      <c r="P821" s="10"/>
    </row>
    <row r="822" spans="1:16" x14ac:dyDescent="0.25">
      <c r="A822" s="1"/>
      <c r="B822" s="10"/>
      <c r="C822" s="42"/>
      <c r="D822" s="43"/>
      <c r="E822" s="10"/>
      <c r="F822" s="42"/>
      <c r="G822" s="43"/>
      <c r="H822" s="10"/>
      <c r="I822" s="10"/>
      <c r="J822" s="42"/>
      <c r="K822" s="43"/>
      <c r="L822" s="43"/>
      <c r="M822" s="10"/>
      <c r="N822" s="10"/>
      <c r="O822" s="10"/>
      <c r="P822" s="10"/>
    </row>
    <row r="823" spans="1:16" x14ac:dyDescent="0.25">
      <c r="A823" s="1"/>
      <c r="B823" s="10"/>
      <c r="C823" s="42"/>
      <c r="D823" s="43"/>
      <c r="E823" s="10"/>
      <c r="F823" s="42"/>
      <c r="G823" s="43"/>
      <c r="H823" s="10"/>
      <c r="I823" s="10"/>
      <c r="J823" s="42"/>
      <c r="K823" s="43"/>
      <c r="L823" s="43"/>
      <c r="M823" s="10"/>
      <c r="N823" s="10"/>
      <c r="O823" s="10"/>
      <c r="P823" s="10"/>
    </row>
    <row r="824" spans="1:16" x14ac:dyDescent="0.25">
      <c r="A824" s="1"/>
      <c r="B824" s="10"/>
      <c r="C824" s="42"/>
      <c r="D824" s="43"/>
      <c r="E824" s="10"/>
      <c r="F824" s="42"/>
      <c r="G824" s="43"/>
      <c r="H824" s="10"/>
      <c r="I824" s="10"/>
      <c r="J824" s="42"/>
      <c r="K824" s="43"/>
      <c r="L824" s="43"/>
      <c r="M824" s="10"/>
      <c r="N824" s="10"/>
      <c r="O824" s="10"/>
      <c r="P824" s="10"/>
    </row>
    <row r="825" spans="1:16" x14ac:dyDescent="0.25">
      <c r="A825" s="1"/>
      <c r="B825" s="10"/>
      <c r="C825" s="42"/>
      <c r="D825" s="43"/>
      <c r="E825" s="10"/>
      <c r="F825" s="42"/>
      <c r="G825" s="43"/>
      <c r="H825" s="10"/>
      <c r="I825" s="10"/>
      <c r="J825" s="42"/>
      <c r="K825" s="43"/>
      <c r="L825" s="43"/>
      <c r="M825" s="10"/>
      <c r="N825" s="10"/>
      <c r="O825" s="10"/>
      <c r="P825" s="10"/>
    </row>
    <row r="826" spans="1:16" x14ac:dyDescent="0.25">
      <c r="A826" s="1"/>
      <c r="B826" s="10"/>
      <c r="C826" s="42"/>
      <c r="D826" s="43"/>
      <c r="E826" s="10"/>
      <c r="F826" s="42"/>
      <c r="G826" s="43"/>
      <c r="H826" s="10"/>
      <c r="I826" s="10"/>
      <c r="J826" s="42"/>
      <c r="K826" s="43"/>
      <c r="L826" s="43"/>
      <c r="M826" s="10"/>
      <c r="N826" s="10"/>
      <c r="O826" s="10"/>
      <c r="P826" s="10"/>
    </row>
    <row r="827" spans="1:16" x14ac:dyDescent="0.25">
      <c r="A827" s="1"/>
      <c r="B827" s="10"/>
      <c r="C827" s="42"/>
      <c r="D827" s="43"/>
      <c r="E827" s="10"/>
      <c r="F827" s="42"/>
      <c r="G827" s="43"/>
      <c r="H827" s="10"/>
      <c r="I827" s="10"/>
      <c r="J827" s="42"/>
      <c r="K827" s="43"/>
      <c r="L827" s="43"/>
      <c r="M827" s="10"/>
      <c r="N827" s="10"/>
      <c r="O827" s="10"/>
      <c r="P827" s="10"/>
    </row>
    <row r="828" spans="1:16" x14ac:dyDescent="0.25">
      <c r="A828" s="1"/>
      <c r="B828" s="10"/>
      <c r="C828" s="42"/>
      <c r="D828" s="43"/>
      <c r="E828" s="10"/>
      <c r="F828" s="42"/>
      <c r="G828" s="43"/>
      <c r="H828" s="10"/>
      <c r="I828" s="10"/>
      <c r="J828" s="42"/>
      <c r="K828" s="43"/>
      <c r="L828" s="43"/>
      <c r="M828" s="10"/>
      <c r="N828" s="10"/>
      <c r="O828" s="10"/>
      <c r="P828" s="10"/>
    </row>
    <row r="829" spans="1:16" x14ac:dyDescent="0.25">
      <c r="A829" s="1"/>
      <c r="B829" s="10"/>
      <c r="C829" s="42"/>
      <c r="D829" s="43"/>
      <c r="E829" s="10"/>
      <c r="F829" s="42"/>
      <c r="G829" s="43"/>
      <c r="H829" s="10"/>
      <c r="I829" s="10"/>
      <c r="J829" s="42"/>
      <c r="K829" s="43"/>
      <c r="L829" s="43"/>
      <c r="M829" s="10"/>
      <c r="N829" s="10"/>
      <c r="O829" s="10"/>
      <c r="P829" s="10"/>
    </row>
    <row r="830" spans="1:16" x14ac:dyDescent="0.25">
      <c r="A830" s="1"/>
      <c r="B830" s="10"/>
      <c r="C830" s="42"/>
      <c r="D830" s="43"/>
      <c r="E830" s="10"/>
      <c r="F830" s="42"/>
      <c r="G830" s="43"/>
      <c r="H830" s="10"/>
      <c r="I830" s="10"/>
      <c r="J830" s="42"/>
      <c r="K830" s="43"/>
      <c r="L830" s="43"/>
      <c r="M830" s="10"/>
      <c r="N830" s="10"/>
      <c r="O830" s="10"/>
      <c r="P830" s="10"/>
    </row>
    <row r="831" spans="1:16" x14ac:dyDescent="0.25">
      <c r="A831" s="1"/>
      <c r="B831" s="10"/>
      <c r="C831" s="42"/>
      <c r="D831" s="43"/>
      <c r="E831" s="10"/>
      <c r="F831" s="42"/>
      <c r="G831" s="43"/>
      <c r="H831" s="10"/>
      <c r="I831" s="10"/>
      <c r="J831" s="42"/>
      <c r="K831" s="43"/>
      <c r="L831" s="43"/>
      <c r="M831" s="10"/>
      <c r="N831" s="10"/>
      <c r="O831" s="10"/>
      <c r="P831" s="10"/>
    </row>
    <row r="832" spans="1:16" x14ac:dyDescent="0.25">
      <c r="A832" s="1"/>
      <c r="B832" s="10"/>
      <c r="C832" s="42"/>
      <c r="D832" s="43"/>
      <c r="E832" s="10"/>
      <c r="F832" s="42"/>
      <c r="G832" s="43"/>
      <c r="H832" s="10"/>
      <c r="I832" s="10"/>
      <c r="J832" s="42"/>
      <c r="K832" s="43"/>
      <c r="L832" s="43"/>
      <c r="M832" s="10"/>
      <c r="N832" s="10"/>
      <c r="O832" s="10"/>
      <c r="P832" s="10"/>
    </row>
    <row r="833" spans="1:16" x14ac:dyDescent="0.25">
      <c r="A833" s="1"/>
      <c r="B833" s="10"/>
      <c r="C833" s="42"/>
      <c r="D833" s="43"/>
      <c r="E833" s="10"/>
      <c r="F833" s="42"/>
      <c r="G833" s="43"/>
      <c r="H833" s="10"/>
      <c r="I833" s="10"/>
      <c r="J833" s="42"/>
      <c r="K833" s="43"/>
      <c r="L833" s="43"/>
      <c r="M833" s="10"/>
      <c r="N833" s="10"/>
      <c r="O833" s="10"/>
      <c r="P833" s="10"/>
    </row>
    <row r="834" spans="1:16" x14ac:dyDescent="0.25">
      <c r="A834" s="1"/>
      <c r="B834" s="10"/>
      <c r="C834" s="42"/>
      <c r="D834" s="43"/>
      <c r="E834" s="10"/>
      <c r="F834" s="42"/>
      <c r="G834" s="43"/>
      <c r="H834" s="10"/>
      <c r="I834" s="10"/>
      <c r="J834" s="42"/>
      <c r="K834" s="43"/>
      <c r="L834" s="43"/>
      <c r="M834" s="10"/>
      <c r="N834" s="10"/>
      <c r="O834" s="10"/>
      <c r="P834" s="10"/>
    </row>
    <row r="835" spans="1:16" x14ac:dyDescent="0.25">
      <c r="A835" s="1"/>
      <c r="B835" s="10"/>
      <c r="C835" s="42"/>
      <c r="D835" s="43"/>
      <c r="E835" s="10"/>
      <c r="F835" s="42"/>
      <c r="G835" s="43"/>
      <c r="H835" s="10"/>
      <c r="I835" s="10"/>
      <c r="J835" s="42"/>
      <c r="K835" s="43"/>
      <c r="L835" s="43"/>
      <c r="M835" s="10"/>
      <c r="N835" s="10"/>
      <c r="O835" s="10"/>
      <c r="P835" s="10"/>
    </row>
    <row r="836" spans="1:16" x14ac:dyDescent="0.25">
      <c r="A836" s="1"/>
      <c r="B836" s="10"/>
      <c r="C836" s="42"/>
      <c r="D836" s="43"/>
      <c r="E836" s="10"/>
      <c r="F836" s="42"/>
      <c r="G836" s="43"/>
      <c r="H836" s="10"/>
      <c r="I836" s="10"/>
      <c r="J836" s="42"/>
      <c r="K836" s="43"/>
      <c r="L836" s="43"/>
      <c r="M836" s="10"/>
      <c r="N836" s="10"/>
      <c r="O836" s="10"/>
      <c r="P836" s="10"/>
    </row>
    <row r="837" spans="1:16" x14ac:dyDescent="0.25">
      <c r="A837" s="1"/>
      <c r="B837" s="10"/>
      <c r="C837" s="42"/>
      <c r="D837" s="43"/>
      <c r="E837" s="10"/>
      <c r="F837" s="42"/>
      <c r="G837" s="43"/>
      <c r="H837" s="10"/>
      <c r="I837" s="10"/>
      <c r="J837" s="42"/>
      <c r="K837" s="43"/>
      <c r="L837" s="43"/>
      <c r="M837" s="10"/>
      <c r="N837" s="10"/>
      <c r="O837" s="10"/>
      <c r="P837" s="10"/>
    </row>
    <row r="838" spans="1:16" x14ac:dyDescent="0.25">
      <c r="A838" s="1"/>
      <c r="B838" s="10"/>
      <c r="C838" s="42"/>
      <c r="D838" s="43"/>
      <c r="E838" s="10"/>
      <c r="F838" s="42"/>
      <c r="G838" s="43"/>
      <c r="H838" s="10"/>
      <c r="I838" s="10"/>
      <c r="J838" s="42"/>
      <c r="K838" s="43"/>
      <c r="L838" s="43"/>
      <c r="M838" s="10"/>
      <c r="N838" s="10"/>
      <c r="O838" s="10"/>
      <c r="P838" s="10"/>
    </row>
    <row r="839" spans="1:16" x14ac:dyDescent="0.25">
      <c r="A839" s="1"/>
      <c r="B839" s="10"/>
      <c r="C839" s="42"/>
      <c r="D839" s="43"/>
      <c r="E839" s="10"/>
      <c r="F839" s="42"/>
      <c r="G839" s="43"/>
      <c r="H839" s="10"/>
      <c r="I839" s="10"/>
      <c r="J839" s="42"/>
      <c r="K839" s="43"/>
      <c r="L839" s="43"/>
      <c r="M839" s="10"/>
      <c r="N839" s="10"/>
      <c r="O839" s="10"/>
      <c r="P839" s="10"/>
    </row>
    <row r="840" spans="1:16" x14ac:dyDescent="0.25">
      <c r="A840" s="1"/>
      <c r="B840" s="10"/>
      <c r="C840" s="42"/>
      <c r="D840" s="43"/>
      <c r="E840" s="10"/>
      <c r="F840" s="42"/>
      <c r="G840" s="43"/>
      <c r="H840" s="10"/>
      <c r="I840" s="10"/>
      <c r="J840" s="42"/>
      <c r="K840" s="43"/>
      <c r="L840" s="43"/>
      <c r="M840" s="10"/>
      <c r="N840" s="10"/>
      <c r="O840" s="10"/>
      <c r="P840" s="10"/>
    </row>
    <row r="841" spans="1:16" x14ac:dyDescent="0.25">
      <c r="A841" s="1"/>
      <c r="B841" s="10"/>
      <c r="C841" s="42"/>
      <c r="D841" s="43"/>
      <c r="E841" s="10"/>
      <c r="F841" s="42"/>
      <c r="G841" s="43"/>
      <c r="H841" s="10"/>
      <c r="I841" s="10"/>
      <c r="J841" s="42"/>
      <c r="K841" s="43"/>
      <c r="L841" s="43"/>
      <c r="M841" s="10"/>
      <c r="N841" s="10"/>
      <c r="O841" s="10"/>
      <c r="P841" s="10"/>
    </row>
    <row r="842" spans="1:16" x14ac:dyDescent="0.25">
      <c r="A842" s="1"/>
      <c r="B842" s="10"/>
      <c r="C842" s="42"/>
      <c r="D842" s="43"/>
      <c r="E842" s="10"/>
      <c r="F842" s="42"/>
      <c r="G842" s="43"/>
      <c r="H842" s="10"/>
      <c r="I842" s="10"/>
      <c r="J842" s="42"/>
      <c r="K842" s="43"/>
      <c r="L842" s="43"/>
      <c r="M842" s="10"/>
      <c r="N842" s="10"/>
      <c r="O842" s="10"/>
      <c r="P842" s="10"/>
    </row>
    <row r="843" spans="1:16" x14ac:dyDescent="0.25">
      <c r="A843" s="1"/>
      <c r="B843" s="10"/>
      <c r="C843" s="42"/>
      <c r="D843" s="43"/>
      <c r="E843" s="10"/>
      <c r="F843" s="42"/>
      <c r="G843" s="43"/>
      <c r="H843" s="10"/>
      <c r="I843" s="10"/>
      <c r="J843" s="42"/>
      <c r="K843" s="43"/>
      <c r="L843" s="43"/>
      <c r="M843" s="10"/>
      <c r="N843" s="10"/>
      <c r="O843" s="10"/>
      <c r="P843" s="10"/>
    </row>
    <row r="844" spans="1:16" x14ac:dyDescent="0.25">
      <c r="A844" s="1"/>
      <c r="B844" s="10"/>
      <c r="C844" s="42"/>
      <c r="D844" s="43"/>
      <c r="E844" s="10"/>
      <c r="F844" s="42"/>
      <c r="G844" s="43"/>
      <c r="H844" s="10"/>
      <c r="I844" s="10"/>
      <c r="J844" s="42"/>
      <c r="K844" s="43"/>
      <c r="L844" s="43"/>
      <c r="M844" s="10"/>
      <c r="N844" s="10"/>
      <c r="O844" s="10"/>
      <c r="P844" s="10"/>
    </row>
    <row r="845" spans="1:16" x14ac:dyDescent="0.25">
      <c r="A845" s="1"/>
      <c r="B845" s="10"/>
      <c r="C845" s="42"/>
      <c r="D845" s="43"/>
      <c r="E845" s="10"/>
      <c r="F845" s="42"/>
      <c r="G845" s="43"/>
      <c r="H845" s="10"/>
      <c r="I845" s="10"/>
      <c r="J845" s="42"/>
      <c r="K845" s="43"/>
      <c r="L845" s="43"/>
      <c r="M845" s="10"/>
      <c r="N845" s="10"/>
      <c r="O845" s="10"/>
      <c r="P845" s="10"/>
    </row>
    <row r="846" spans="1:16" x14ac:dyDescent="0.25">
      <c r="A846" s="1"/>
      <c r="B846" s="10"/>
      <c r="C846" s="42"/>
      <c r="D846" s="43"/>
      <c r="E846" s="10"/>
      <c r="F846" s="42"/>
      <c r="G846" s="43"/>
      <c r="H846" s="10"/>
      <c r="I846" s="10"/>
      <c r="J846" s="42"/>
      <c r="K846" s="43"/>
      <c r="L846" s="43"/>
      <c r="M846" s="10"/>
      <c r="N846" s="10"/>
      <c r="O846" s="10"/>
      <c r="P846" s="10"/>
    </row>
    <row r="847" spans="1:16" x14ac:dyDescent="0.25">
      <c r="A847" s="1"/>
      <c r="B847" s="10"/>
      <c r="C847" s="42"/>
      <c r="D847" s="43"/>
      <c r="E847" s="10"/>
      <c r="F847" s="42"/>
      <c r="G847" s="43"/>
      <c r="H847" s="10"/>
      <c r="I847" s="10"/>
      <c r="J847" s="42"/>
      <c r="K847" s="43"/>
      <c r="L847" s="43"/>
      <c r="M847" s="10"/>
      <c r="N847" s="10"/>
      <c r="O847" s="10"/>
      <c r="P847" s="10"/>
    </row>
    <row r="848" spans="1:16" x14ac:dyDescent="0.25">
      <c r="A848" s="1"/>
      <c r="B848" s="10"/>
      <c r="C848" s="42"/>
      <c r="D848" s="43"/>
      <c r="E848" s="10"/>
      <c r="F848" s="42"/>
      <c r="G848" s="43"/>
      <c r="H848" s="10"/>
      <c r="I848" s="10"/>
      <c r="J848" s="42"/>
      <c r="K848" s="43"/>
      <c r="L848" s="43"/>
      <c r="M848" s="10"/>
      <c r="N848" s="10"/>
      <c r="O848" s="10"/>
      <c r="P848" s="10"/>
    </row>
    <row r="849" spans="1:16" x14ac:dyDescent="0.25">
      <c r="A849" s="1"/>
      <c r="B849" s="10"/>
      <c r="C849" s="42"/>
      <c r="D849" s="43"/>
      <c r="E849" s="10"/>
      <c r="F849" s="42"/>
      <c r="G849" s="43"/>
      <c r="H849" s="10"/>
      <c r="I849" s="10"/>
      <c r="J849" s="42"/>
      <c r="K849" s="43"/>
      <c r="L849" s="43"/>
      <c r="M849" s="10"/>
      <c r="N849" s="10"/>
      <c r="O849" s="10"/>
      <c r="P849" s="10"/>
    </row>
    <row r="850" spans="1:16" x14ac:dyDescent="0.25">
      <c r="A850" s="1"/>
      <c r="B850" s="10"/>
      <c r="C850" s="42"/>
      <c r="D850" s="43"/>
      <c r="E850" s="10"/>
      <c r="F850" s="42"/>
      <c r="G850" s="43"/>
      <c r="H850" s="10"/>
      <c r="I850" s="10"/>
      <c r="J850" s="42"/>
      <c r="K850" s="43"/>
      <c r="L850" s="43"/>
      <c r="M850" s="10"/>
      <c r="N850" s="10"/>
      <c r="O850" s="10"/>
      <c r="P850" s="10"/>
    </row>
    <row r="851" spans="1:16" x14ac:dyDescent="0.25">
      <c r="A851" s="1"/>
      <c r="B851" s="10"/>
      <c r="C851" s="42"/>
      <c r="D851" s="43"/>
      <c r="E851" s="10"/>
      <c r="F851" s="42"/>
      <c r="G851" s="43"/>
      <c r="H851" s="10"/>
      <c r="I851" s="10"/>
      <c r="J851" s="42"/>
      <c r="K851" s="43"/>
      <c r="L851" s="43"/>
      <c r="M851" s="10"/>
      <c r="N851" s="10"/>
      <c r="O851" s="10"/>
      <c r="P851" s="10"/>
    </row>
    <row r="852" spans="1:16" x14ac:dyDescent="0.25">
      <c r="A852" s="1"/>
      <c r="B852" s="10"/>
      <c r="C852" s="42"/>
      <c r="D852" s="43"/>
      <c r="E852" s="10"/>
      <c r="F852" s="42"/>
      <c r="G852" s="43"/>
      <c r="H852" s="10"/>
      <c r="I852" s="10"/>
      <c r="J852" s="42"/>
      <c r="K852" s="43"/>
      <c r="L852" s="43"/>
      <c r="M852" s="10"/>
      <c r="N852" s="10"/>
      <c r="O852" s="10"/>
      <c r="P852" s="10"/>
    </row>
    <row r="853" spans="1:16" x14ac:dyDescent="0.25">
      <c r="A853" s="1"/>
      <c r="B853" s="10"/>
      <c r="C853" s="42"/>
      <c r="D853" s="43"/>
      <c r="E853" s="10"/>
      <c r="F853" s="42"/>
      <c r="G853" s="43"/>
      <c r="H853" s="10"/>
      <c r="I853" s="10"/>
      <c r="J853" s="42"/>
      <c r="K853" s="43"/>
      <c r="L853" s="43"/>
      <c r="M853" s="10"/>
      <c r="N853" s="10"/>
      <c r="O853" s="10"/>
      <c r="P853" s="10"/>
    </row>
    <row r="854" spans="1:16" x14ac:dyDescent="0.25">
      <c r="A854" s="1"/>
      <c r="B854" s="10"/>
      <c r="C854" s="42"/>
      <c r="D854" s="43"/>
      <c r="E854" s="10"/>
      <c r="F854" s="42"/>
      <c r="G854" s="43"/>
      <c r="H854" s="10"/>
      <c r="I854" s="10"/>
      <c r="J854" s="42"/>
      <c r="K854" s="43"/>
      <c r="L854" s="43"/>
      <c r="M854" s="10"/>
      <c r="N854" s="10"/>
      <c r="O854" s="10"/>
      <c r="P854" s="10"/>
    </row>
    <row r="855" spans="1:16" x14ac:dyDescent="0.25">
      <c r="A855" s="1"/>
      <c r="B855" s="10"/>
      <c r="C855" s="42"/>
      <c r="D855" s="43"/>
      <c r="E855" s="10"/>
      <c r="F855" s="42"/>
      <c r="G855" s="43"/>
      <c r="H855" s="10"/>
      <c r="I855" s="10"/>
      <c r="J855" s="42"/>
      <c r="K855" s="43"/>
      <c r="L855" s="43"/>
      <c r="M855" s="10"/>
      <c r="N855" s="10"/>
      <c r="O855" s="10"/>
      <c r="P855" s="10"/>
    </row>
    <row r="856" spans="1:16" x14ac:dyDescent="0.25">
      <c r="A856" s="1"/>
      <c r="B856" s="10"/>
      <c r="C856" s="42"/>
      <c r="D856" s="43"/>
      <c r="E856" s="10"/>
      <c r="F856" s="42"/>
      <c r="G856" s="43"/>
      <c r="H856" s="10"/>
      <c r="I856" s="10"/>
      <c r="J856" s="42"/>
      <c r="K856" s="43"/>
      <c r="L856" s="43"/>
      <c r="M856" s="10"/>
      <c r="N856" s="10"/>
      <c r="O856" s="10"/>
      <c r="P856" s="10"/>
    </row>
    <row r="857" spans="1:16" x14ac:dyDescent="0.25">
      <c r="A857" s="1"/>
      <c r="B857" s="10"/>
      <c r="C857" s="42"/>
      <c r="D857" s="43"/>
      <c r="E857" s="10"/>
      <c r="F857" s="42"/>
      <c r="G857" s="43"/>
      <c r="H857" s="10"/>
      <c r="I857" s="10"/>
      <c r="J857" s="42"/>
      <c r="K857" s="43"/>
      <c r="L857" s="43"/>
      <c r="M857" s="10"/>
      <c r="N857" s="10"/>
      <c r="O857" s="10"/>
      <c r="P857" s="10"/>
    </row>
    <row r="858" spans="1:16" x14ac:dyDescent="0.25">
      <c r="A858" s="1"/>
      <c r="B858" s="10"/>
      <c r="C858" s="42"/>
      <c r="D858" s="43"/>
      <c r="E858" s="10"/>
      <c r="F858" s="42"/>
      <c r="G858" s="43"/>
      <c r="H858" s="10"/>
      <c r="I858" s="10"/>
      <c r="J858" s="42"/>
      <c r="K858" s="43"/>
      <c r="L858" s="43"/>
      <c r="M858" s="10"/>
      <c r="N858" s="10"/>
      <c r="O858" s="10"/>
      <c r="P858" s="10"/>
    </row>
    <row r="859" spans="1:16" x14ac:dyDescent="0.25">
      <c r="A859" s="1"/>
      <c r="B859" s="10"/>
      <c r="C859" s="42"/>
      <c r="D859" s="43"/>
      <c r="E859" s="10"/>
      <c r="F859" s="42"/>
      <c r="G859" s="43"/>
      <c r="H859" s="10"/>
      <c r="I859" s="10"/>
      <c r="J859" s="42"/>
      <c r="K859" s="43"/>
      <c r="L859" s="43"/>
      <c r="M859" s="10"/>
      <c r="N859" s="10"/>
      <c r="O859" s="10"/>
      <c r="P859" s="10"/>
    </row>
    <row r="860" spans="1:16" x14ac:dyDescent="0.25">
      <c r="A860" s="1"/>
      <c r="B860" s="10"/>
      <c r="C860" s="42"/>
      <c r="D860" s="43"/>
      <c r="E860" s="10"/>
      <c r="F860" s="42"/>
      <c r="G860" s="43"/>
      <c r="H860" s="10"/>
      <c r="I860" s="10"/>
      <c r="J860" s="42"/>
      <c r="K860" s="43"/>
      <c r="L860" s="43"/>
      <c r="M860" s="10"/>
      <c r="N860" s="10"/>
      <c r="O860" s="10"/>
      <c r="P860" s="10"/>
    </row>
    <row r="861" spans="1:16" x14ac:dyDescent="0.25">
      <c r="A861" s="1"/>
      <c r="B861" s="10"/>
      <c r="C861" s="42"/>
      <c r="D861" s="43"/>
      <c r="E861" s="10"/>
      <c r="F861" s="42"/>
      <c r="G861" s="43"/>
      <c r="H861" s="10"/>
      <c r="I861" s="10"/>
      <c r="J861" s="42"/>
      <c r="K861" s="43"/>
      <c r="L861" s="43"/>
      <c r="M861" s="10"/>
      <c r="N861" s="10"/>
      <c r="O861" s="10"/>
      <c r="P861" s="10"/>
    </row>
    <row r="862" spans="1:16" x14ac:dyDescent="0.25">
      <c r="A862" s="1"/>
      <c r="B862" s="10"/>
      <c r="C862" s="42"/>
      <c r="D862" s="43"/>
      <c r="E862" s="10"/>
      <c r="F862" s="42"/>
      <c r="G862" s="43"/>
      <c r="H862" s="10"/>
      <c r="I862" s="10"/>
      <c r="J862" s="42"/>
      <c r="K862" s="43"/>
      <c r="L862" s="43"/>
      <c r="M862" s="10"/>
      <c r="N862" s="10"/>
      <c r="O862" s="10"/>
      <c r="P862" s="10"/>
    </row>
    <row r="863" spans="1:16" x14ac:dyDescent="0.25">
      <c r="A863" s="1"/>
      <c r="B863" s="10"/>
      <c r="C863" s="42"/>
      <c r="D863" s="43"/>
      <c r="E863" s="10"/>
      <c r="F863" s="42"/>
      <c r="G863" s="43"/>
      <c r="H863" s="10"/>
      <c r="I863" s="10"/>
      <c r="J863" s="42"/>
      <c r="K863" s="43"/>
      <c r="L863" s="43"/>
      <c r="M863" s="10"/>
      <c r="N863" s="10"/>
      <c r="O863" s="10"/>
      <c r="P863" s="10"/>
    </row>
    <row r="864" spans="1:16" x14ac:dyDescent="0.25">
      <c r="A864" s="1"/>
      <c r="B864" s="10"/>
      <c r="C864" s="42"/>
      <c r="D864" s="43"/>
      <c r="E864" s="10"/>
      <c r="F864" s="42"/>
      <c r="G864" s="43"/>
      <c r="H864" s="10"/>
      <c r="I864" s="10"/>
      <c r="J864" s="42"/>
      <c r="K864" s="43"/>
      <c r="L864" s="43"/>
      <c r="M864" s="10"/>
      <c r="N864" s="10"/>
      <c r="O864" s="10"/>
      <c r="P864" s="10"/>
    </row>
    <row r="865" spans="1:16" x14ac:dyDescent="0.25">
      <c r="A865" s="1"/>
      <c r="B865" s="10"/>
      <c r="C865" s="42"/>
      <c r="D865" s="43"/>
      <c r="E865" s="10"/>
      <c r="F865" s="42"/>
      <c r="G865" s="43"/>
      <c r="H865" s="10"/>
      <c r="I865" s="10"/>
      <c r="J865" s="42"/>
      <c r="K865" s="43"/>
      <c r="L865" s="43"/>
      <c r="M865" s="10"/>
      <c r="N865" s="10"/>
      <c r="O865" s="10"/>
      <c r="P865" s="10"/>
    </row>
    <row r="866" spans="1:16" x14ac:dyDescent="0.25">
      <c r="A866" s="1"/>
      <c r="B866" s="10"/>
      <c r="C866" s="42"/>
      <c r="D866" s="43"/>
      <c r="E866" s="10"/>
      <c r="F866" s="42"/>
      <c r="G866" s="43"/>
      <c r="H866" s="10"/>
      <c r="I866" s="10"/>
      <c r="J866" s="42"/>
      <c r="K866" s="43"/>
      <c r="L866" s="43"/>
      <c r="M866" s="10"/>
      <c r="N866" s="10"/>
      <c r="O866" s="10"/>
      <c r="P866" s="10"/>
    </row>
    <row r="867" spans="1:16" x14ac:dyDescent="0.25">
      <c r="A867" s="1"/>
      <c r="B867" s="10"/>
      <c r="C867" s="42"/>
      <c r="D867" s="43"/>
      <c r="E867" s="10"/>
      <c r="F867" s="42"/>
      <c r="G867" s="43"/>
      <c r="H867" s="10"/>
      <c r="I867" s="10"/>
      <c r="J867" s="42"/>
      <c r="K867" s="43"/>
      <c r="L867" s="43"/>
      <c r="M867" s="10"/>
      <c r="N867" s="10"/>
      <c r="O867" s="10"/>
      <c r="P867" s="10"/>
    </row>
    <row r="868" spans="1:16" x14ac:dyDescent="0.25">
      <c r="A868" s="1"/>
      <c r="B868" s="10"/>
      <c r="C868" s="42"/>
      <c r="D868" s="43"/>
      <c r="E868" s="10"/>
      <c r="F868" s="42"/>
      <c r="G868" s="43"/>
      <c r="H868" s="10"/>
      <c r="I868" s="10"/>
      <c r="J868" s="42"/>
      <c r="K868" s="43"/>
      <c r="L868" s="43"/>
      <c r="M868" s="10"/>
      <c r="N868" s="10"/>
      <c r="O868" s="10"/>
      <c r="P868" s="10"/>
    </row>
    <row r="869" spans="1:16" x14ac:dyDescent="0.25">
      <c r="A869" s="1"/>
      <c r="B869" s="10"/>
      <c r="C869" s="42"/>
      <c r="D869" s="43"/>
      <c r="E869" s="10"/>
      <c r="F869" s="42"/>
      <c r="G869" s="43"/>
      <c r="H869" s="10"/>
      <c r="I869" s="10"/>
      <c r="J869" s="42"/>
      <c r="K869" s="43"/>
      <c r="L869" s="43"/>
      <c r="M869" s="10"/>
      <c r="N869" s="10"/>
      <c r="O869" s="10"/>
      <c r="P869" s="10"/>
    </row>
    <row r="870" spans="1:16" x14ac:dyDescent="0.25">
      <c r="A870" s="1"/>
      <c r="B870" s="10"/>
      <c r="C870" s="42"/>
      <c r="D870" s="43"/>
      <c r="E870" s="10"/>
      <c r="F870" s="42"/>
      <c r="G870" s="43"/>
      <c r="H870" s="10"/>
      <c r="I870" s="10"/>
      <c r="J870" s="42"/>
      <c r="K870" s="43"/>
      <c r="L870" s="43"/>
      <c r="M870" s="10"/>
      <c r="N870" s="10"/>
      <c r="O870" s="10"/>
      <c r="P870" s="10"/>
    </row>
    <row r="871" spans="1:16" x14ac:dyDescent="0.25">
      <c r="A871" s="1"/>
      <c r="B871" s="10"/>
      <c r="C871" s="42"/>
      <c r="D871" s="43"/>
      <c r="E871" s="10"/>
      <c r="F871" s="42"/>
      <c r="G871" s="43"/>
      <c r="H871" s="10"/>
      <c r="I871" s="10"/>
      <c r="J871" s="42"/>
      <c r="K871" s="43"/>
      <c r="L871" s="43"/>
      <c r="M871" s="10"/>
      <c r="N871" s="10"/>
      <c r="O871" s="10"/>
      <c r="P871" s="10"/>
    </row>
    <row r="872" spans="1:16" x14ac:dyDescent="0.25">
      <c r="A872" s="1"/>
      <c r="B872" s="10"/>
      <c r="C872" s="42"/>
      <c r="D872" s="43"/>
      <c r="E872" s="10"/>
      <c r="F872" s="42"/>
      <c r="G872" s="43"/>
      <c r="H872" s="10"/>
      <c r="I872" s="10"/>
      <c r="J872" s="42"/>
      <c r="K872" s="43"/>
      <c r="L872" s="43"/>
      <c r="M872" s="10"/>
      <c r="N872" s="10"/>
      <c r="O872" s="10"/>
      <c r="P872" s="10"/>
    </row>
    <row r="873" spans="1:16" x14ac:dyDescent="0.25">
      <c r="A873" s="1"/>
      <c r="B873" s="10"/>
      <c r="C873" s="42"/>
      <c r="D873" s="43"/>
      <c r="E873" s="10"/>
      <c r="F873" s="42"/>
      <c r="G873" s="43"/>
      <c r="H873" s="10"/>
      <c r="I873" s="10"/>
      <c r="J873" s="42"/>
      <c r="K873" s="43"/>
      <c r="L873" s="43"/>
      <c r="M873" s="10"/>
      <c r="N873" s="10"/>
      <c r="O873" s="10"/>
      <c r="P873" s="10"/>
    </row>
    <row r="874" spans="1:16" x14ac:dyDescent="0.25">
      <c r="A874" s="1"/>
      <c r="B874" s="10"/>
      <c r="C874" s="42"/>
      <c r="D874" s="43"/>
      <c r="E874" s="10"/>
      <c r="F874" s="42"/>
      <c r="G874" s="43"/>
      <c r="H874" s="10"/>
      <c r="I874" s="10"/>
      <c r="J874" s="42"/>
      <c r="K874" s="43"/>
      <c r="L874" s="43"/>
      <c r="M874" s="10"/>
      <c r="N874" s="10"/>
      <c r="O874" s="10"/>
      <c r="P874" s="10"/>
    </row>
    <row r="875" spans="1:16" x14ac:dyDescent="0.25">
      <c r="A875" s="1"/>
      <c r="B875" s="10"/>
      <c r="C875" s="42"/>
      <c r="D875" s="43"/>
      <c r="E875" s="10"/>
      <c r="F875" s="42"/>
      <c r="G875" s="43"/>
      <c r="H875" s="10"/>
      <c r="I875" s="10"/>
      <c r="J875" s="42"/>
      <c r="K875" s="43"/>
      <c r="L875" s="43"/>
      <c r="M875" s="10"/>
      <c r="N875" s="10"/>
      <c r="O875" s="10"/>
      <c r="P875" s="10"/>
    </row>
    <row r="876" spans="1:16" x14ac:dyDescent="0.25">
      <c r="A876" s="1"/>
      <c r="B876" s="10"/>
      <c r="C876" s="42"/>
      <c r="D876" s="43"/>
      <c r="E876" s="10"/>
      <c r="F876" s="42"/>
      <c r="G876" s="43"/>
      <c r="H876" s="10"/>
      <c r="I876" s="10"/>
      <c r="J876" s="42"/>
      <c r="K876" s="43"/>
      <c r="L876" s="43"/>
      <c r="M876" s="10"/>
      <c r="N876" s="10"/>
      <c r="O876" s="10"/>
      <c r="P876" s="10"/>
    </row>
    <row r="877" spans="1:16" x14ac:dyDescent="0.25">
      <c r="A877" s="1"/>
      <c r="B877" s="10"/>
      <c r="C877" s="42"/>
      <c r="D877" s="43"/>
      <c r="E877" s="10"/>
      <c r="F877" s="42"/>
      <c r="G877" s="43"/>
      <c r="H877" s="10"/>
      <c r="I877" s="10"/>
      <c r="J877" s="42"/>
      <c r="K877" s="43"/>
      <c r="L877" s="43"/>
      <c r="M877" s="10"/>
      <c r="N877" s="10"/>
      <c r="O877" s="10"/>
      <c r="P877" s="10"/>
    </row>
    <row r="878" spans="1:16" x14ac:dyDescent="0.25">
      <c r="A878" s="1"/>
      <c r="B878" s="10"/>
      <c r="C878" s="42"/>
      <c r="D878" s="43"/>
      <c r="E878" s="10"/>
      <c r="F878" s="42"/>
      <c r="G878" s="43"/>
      <c r="H878" s="10"/>
      <c r="I878" s="10"/>
      <c r="J878" s="42"/>
      <c r="K878" s="43"/>
      <c r="L878" s="43"/>
      <c r="M878" s="10"/>
      <c r="N878" s="10"/>
      <c r="O878" s="10"/>
      <c r="P878" s="10"/>
    </row>
    <row r="879" spans="1:16" x14ac:dyDescent="0.25">
      <c r="A879" s="1"/>
      <c r="B879" s="10"/>
      <c r="C879" s="42"/>
      <c r="D879" s="43"/>
      <c r="E879" s="10"/>
      <c r="F879" s="42"/>
      <c r="G879" s="43"/>
      <c r="H879" s="10"/>
      <c r="I879" s="10"/>
      <c r="J879" s="42"/>
      <c r="K879" s="43"/>
      <c r="L879" s="43"/>
      <c r="M879" s="10"/>
      <c r="N879" s="10"/>
      <c r="O879" s="10"/>
      <c r="P879" s="10"/>
    </row>
    <row r="880" spans="1:16" x14ac:dyDescent="0.25">
      <c r="A880" s="1"/>
      <c r="B880" s="10"/>
      <c r="C880" s="42"/>
      <c r="D880" s="43"/>
      <c r="E880" s="10"/>
      <c r="F880" s="42"/>
      <c r="G880" s="43"/>
      <c r="H880" s="10"/>
      <c r="I880" s="10"/>
      <c r="J880" s="42"/>
      <c r="K880" s="43"/>
      <c r="L880" s="43"/>
      <c r="M880" s="10"/>
      <c r="N880" s="10"/>
      <c r="O880" s="10"/>
      <c r="P880" s="10"/>
    </row>
    <row r="881" spans="1:16" x14ac:dyDescent="0.25">
      <c r="A881" s="1"/>
      <c r="B881" s="10"/>
      <c r="C881" s="42"/>
      <c r="D881" s="43"/>
      <c r="E881" s="10"/>
      <c r="F881" s="42"/>
      <c r="G881" s="43"/>
      <c r="H881" s="10"/>
      <c r="I881" s="10"/>
      <c r="J881" s="42"/>
      <c r="K881" s="43"/>
      <c r="L881" s="43"/>
      <c r="M881" s="10"/>
      <c r="N881" s="10"/>
      <c r="O881" s="10"/>
      <c r="P881" s="10"/>
    </row>
    <row r="882" spans="1:16" x14ac:dyDescent="0.25">
      <c r="A882" s="1"/>
      <c r="B882" s="10"/>
      <c r="C882" s="42"/>
      <c r="D882" s="43"/>
      <c r="E882" s="10"/>
      <c r="F882" s="42"/>
      <c r="G882" s="43"/>
      <c r="H882" s="10"/>
      <c r="I882" s="10"/>
      <c r="J882" s="42"/>
      <c r="K882" s="43"/>
      <c r="L882" s="43"/>
      <c r="M882" s="10"/>
      <c r="N882" s="10"/>
      <c r="O882" s="10"/>
      <c r="P882" s="10"/>
    </row>
    <row r="883" spans="1:16" x14ac:dyDescent="0.25">
      <c r="A883" s="1"/>
      <c r="B883" s="10"/>
      <c r="C883" s="42"/>
      <c r="D883" s="43"/>
      <c r="E883" s="10"/>
      <c r="F883" s="42"/>
      <c r="G883" s="43"/>
      <c r="H883" s="10"/>
      <c r="I883" s="10"/>
      <c r="J883" s="42"/>
      <c r="K883" s="43"/>
      <c r="L883" s="43"/>
      <c r="M883" s="10"/>
      <c r="N883" s="10"/>
      <c r="O883" s="10"/>
      <c r="P883" s="10"/>
    </row>
    <row r="884" spans="1:16" x14ac:dyDescent="0.25">
      <c r="A884" s="1"/>
      <c r="B884" s="10"/>
      <c r="C884" s="42"/>
      <c r="D884" s="43"/>
      <c r="E884" s="10"/>
      <c r="F884" s="42"/>
      <c r="G884" s="43"/>
      <c r="H884" s="10"/>
      <c r="I884" s="10"/>
      <c r="J884" s="42"/>
      <c r="K884" s="43"/>
      <c r="L884" s="43"/>
      <c r="M884" s="10"/>
      <c r="N884" s="10"/>
      <c r="O884" s="10"/>
      <c r="P884" s="10"/>
    </row>
    <row r="885" spans="1:16" x14ac:dyDescent="0.25">
      <c r="A885" s="1"/>
      <c r="B885" s="10"/>
      <c r="C885" s="42"/>
      <c r="D885" s="43"/>
      <c r="E885" s="10"/>
      <c r="F885" s="42"/>
      <c r="G885" s="43"/>
      <c r="H885" s="10"/>
      <c r="I885" s="10"/>
      <c r="J885" s="42"/>
      <c r="K885" s="43"/>
      <c r="L885" s="43"/>
      <c r="M885" s="10"/>
      <c r="N885" s="10"/>
      <c r="O885" s="10"/>
      <c r="P885" s="10"/>
    </row>
    <row r="886" spans="1:16" x14ac:dyDescent="0.25">
      <c r="A886" s="1"/>
      <c r="B886" s="10"/>
      <c r="C886" s="42"/>
      <c r="D886" s="43"/>
      <c r="E886" s="10"/>
      <c r="F886" s="42"/>
      <c r="G886" s="43"/>
      <c r="H886" s="10"/>
      <c r="I886" s="10"/>
      <c r="J886" s="42"/>
      <c r="K886" s="43"/>
      <c r="L886" s="43"/>
      <c r="M886" s="10"/>
      <c r="N886" s="10"/>
      <c r="O886" s="10"/>
      <c r="P886" s="10"/>
    </row>
    <row r="887" spans="1:16" x14ac:dyDescent="0.25">
      <c r="A887" s="1"/>
      <c r="B887" s="10"/>
      <c r="C887" s="42"/>
      <c r="D887" s="43"/>
      <c r="E887" s="10"/>
      <c r="F887" s="42"/>
      <c r="G887" s="43"/>
      <c r="H887" s="10"/>
      <c r="I887" s="10"/>
      <c r="J887" s="42"/>
      <c r="K887" s="43"/>
      <c r="L887" s="43"/>
      <c r="M887" s="10"/>
      <c r="N887" s="10"/>
      <c r="O887" s="10"/>
      <c r="P887" s="10"/>
    </row>
    <row r="888" spans="1:16" x14ac:dyDescent="0.25">
      <c r="A888" s="1"/>
      <c r="B888" s="10"/>
      <c r="C888" s="42"/>
      <c r="D888" s="43"/>
      <c r="E888" s="10"/>
      <c r="F888" s="42"/>
      <c r="G888" s="43"/>
      <c r="H888" s="10"/>
      <c r="I888" s="10"/>
      <c r="J888" s="42"/>
      <c r="K888" s="43"/>
      <c r="L888" s="43"/>
      <c r="M888" s="10"/>
      <c r="N888" s="10"/>
      <c r="O888" s="10"/>
      <c r="P888" s="10"/>
    </row>
    <row r="889" spans="1:16" x14ac:dyDescent="0.25">
      <c r="A889" s="1"/>
      <c r="B889" s="10"/>
      <c r="C889" s="42"/>
      <c r="D889" s="43"/>
      <c r="E889" s="10"/>
      <c r="F889" s="42"/>
      <c r="G889" s="43"/>
      <c r="H889" s="10"/>
      <c r="I889" s="10"/>
      <c r="J889" s="42"/>
      <c r="K889" s="43"/>
      <c r="L889" s="43"/>
      <c r="M889" s="10"/>
      <c r="N889" s="10"/>
      <c r="O889" s="10"/>
      <c r="P889" s="10"/>
    </row>
    <row r="890" spans="1:16" x14ac:dyDescent="0.25">
      <c r="A890" s="1"/>
      <c r="B890" s="10"/>
      <c r="C890" s="42"/>
      <c r="D890" s="43"/>
      <c r="E890" s="10"/>
      <c r="F890" s="42"/>
      <c r="G890" s="43"/>
      <c r="H890" s="10"/>
      <c r="I890" s="10"/>
      <c r="J890" s="42"/>
      <c r="K890" s="43"/>
      <c r="L890" s="43"/>
      <c r="M890" s="10"/>
      <c r="N890" s="10"/>
      <c r="O890" s="10"/>
      <c r="P890" s="10"/>
    </row>
    <row r="891" spans="1:16" x14ac:dyDescent="0.25">
      <c r="A891" s="1"/>
      <c r="B891" s="10"/>
      <c r="C891" s="42"/>
      <c r="D891" s="43"/>
      <c r="E891" s="10"/>
      <c r="F891" s="42"/>
      <c r="G891" s="43"/>
      <c r="H891" s="10"/>
      <c r="I891" s="10"/>
      <c r="J891" s="42"/>
      <c r="K891" s="43"/>
      <c r="L891" s="43"/>
      <c r="M891" s="10"/>
      <c r="N891" s="10"/>
      <c r="O891" s="10"/>
      <c r="P891" s="10"/>
    </row>
    <row r="892" spans="1:16" x14ac:dyDescent="0.25">
      <c r="A892" s="1"/>
      <c r="B892" s="10"/>
      <c r="C892" s="42"/>
      <c r="D892" s="43"/>
      <c r="E892" s="10"/>
      <c r="F892" s="42"/>
      <c r="G892" s="43"/>
      <c r="H892" s="10"/>
      <c r="I892" s="10"/>
      <c r="J892" s="42"/>
      <c r="K892" s="43"/>
      <c r="L892" s="43"/>
      <c r="M892" s="10"/>
      <c r="N892" s="10"/>
      <c r="O892" s="10"/>
      <c r="P892" s="10"/>
    </row>
    <row r="893" spans="1:16" x14ac:dyDescent="0.25">
      <c r="A893" s="1"/>
      <c r="B893" s="10"/>
      <c r="C893" s="42"/>
      <c r="D893" s="43"/>
      <c r="E893" s="10"/>
      <c r="F893" s="42"/>
      <c r="G893" s="43"/>
      <c r="H893" s="10"/>
      <c r="I893" s="10"/>
      <c r="J893" s="42"/>
      <c r="K893" s="43"/>
      <c r="L893" s="43"/>
      <c r="M893" s="10"/>
      <c r="N893" s="10"/>
      <c r="O893" s="10"/>
      <c r="P893" s="10"/>
    </row>
    <row r="894" spans="1:16" x14ac:dyDescent="0.25">
      <c r="A894" s="1"/>
      <c r="B894" s="10"/>
      <c r="C894" s="42"/>
      <c r="D894" s="43"/>
      <c r="E894" s="10"/>
      <c r="F894" s="42"/>
      <c r="G894" s="43"/>
      <c r="H894" s="10"/>
      <c r="I894" s="10"/>
      <c r="J894" s="42"/>
      <c r="K894" s="43"/>
      <c r="L894" s="43"/>
      <c r="M894" s="10"/>
      <c r="N894" s="10"/>
      <c r="O894" s="10"/>
      <c r="P894" s="10"/>
    </row>
    <row r="895" spans="1:16" x14ac:dyDescent="0.25">
      <c r="A895" s="1"/>
      <c r="B895" s="10"/>
      <c r="C895" s="42"/>
      <c r="D895" s="43"/>
      <c r="E895" s="10"/>
      <c r="F895" s="42"/>
      <c r="G895" s="43"/>
      <c r="H895" s="10"/>
      <c r="I895" s="10"/>
      <c r="J895" s="42"/>
      <c r="K895" s="43"/>
      <c r="L895" s="43"/>
      <c r="M895" s="10"/>
      <c r="N895" s="10"/>
      <c r="O895" s="10"/>
      <c r="P895" s="10"/>
    </row>
    <row r="896" spans="1:16" x14ac:dyDescent="0.25">
      <c r="A896" s="1"/>
      <c r="B896" s="10"/>
      <c r="C896" s="42"/>
      <c r="D896" s="43"/>
      <c r="E896" s="10"/>
      <c r="F896" s="42"/>
      <c r="G896" s="43"/>
      <c r="H896" s="10"/>
      <c r="I896" s="10"/>
      <c r="J896" s="42"/>
      <c r="K896" s="43"/>
      <c r="L896" s="43"/>
      <c r="M896" s="10"/>
      <c r="N896" s="10"/>
      <c r="O896" s="10"/>
      <c r="P896" s="10"/>
    </row>
    <row r="897" spans="1:16" x14ac:dyDescent="0.25">
      <c r="A897" s="1"/>
      <c r="B897" s="10"/>
      <c r="C897" s="42"/>
      <c r="D897" s="43"/>
      <c r="E897" s="10"/>
      <c r="F897" s="42"/>
      <c r="G897" s="43"/>
      <c r="H897" s="10"/>
      <c r="I897" s="10"/>
      <c r="J897" s="42"/>
      <c r="K897" s="43"/>
      <c r="L897" s="43"/>
      <c r="M897" s="10"/>
      <c r="N897" s="10"/>
      <c r="O897" s="10"/>
      <c r="P897" s="10"/>
    </row>
    <row r="898" spans="1:16" x14ac:dyDescent="0.25">
      <c r="A898" s="1"/>
      <c r="B898" s="10"/>
      <c r="C898" s="42"/>
      <c r="D898" s="43"/>
      <c r="E898" s="10"/>
      <c r="F898" s="42"/>
      <c r="G898" s="43"/>
      <c r="H898" s="10"/>
      <c r="I898" s="10"/>
      <c r="J898" s="42"/>
      <c r="K898" s="43"/>
      <c r="L898" s="43"/>
      <c r="M898" s="10"/>
      <c r="N898" s="10"/>
      <c r="O898" s="10"/>
      <c r="P898" s="10"/>
    </row>
    <row r="899" spans="1:16" x14ac:dyDescent="0.25">
      <c r="A899" s="1"/>
      <c r="B899" s="10"/>
      <c r="C899" s="42"/>
      <c r="D899" s="43"/>
      <c r="E899" s="10"/>
      <c r="F899" s="42"/>
      <c r="G899" s="43"/>
      <c r="H899" s="10"/>
      <c r="I899" s="10"/>
      <c r="J899" s="42"/>
      <c r="K899" s="43"/>
      <c r="L899" s="43"/>
      <c r="M899" s="10"/>
      <c r="N899" s="10"/>
      <c r="O899" s="10"/>
      <c r="P899" s="10"/>
    </row>
    <row r="900" spans="1:16" x14ac:dyDescent="0.25">
      <c r="A900" s="1"/>
      <c r="B900" s="10"/>
      <c r="C900" s="42"/>
      <c r="D900" s="43"/>
      <c r="E900" s="10"/>
      <c r="F900" s="42"/>
      <c r="G900" s="43"/>
      <c r="H900" s="10"/>
      <c r="I900" s="10"/>
      <c r="J900" s="42"/>
      <c r="K900" s="43"/>
      <c r="L900" s="43"/>
      <c r="M900" s="10"/>
      <c r="N900" s="10"/>
      <c r="O900" s="10"/>
      <c r="P900" s="10"/>
    </row>
    <row r="901" spans="1:16" x14ac:dyDescent="0.25">
      <c r="A901" s="1"/>
      <c r="B901" s="10"/>
      <c r="C901" s="42"/>
      <c r="D901" s="43"/>
      <c r="E901" s="10"/>
      <c r="F901" s="42"/>
      <c r="G901" s="43"/>
      <c r="H901" s="10"/>
      <c r="I901" s="10"/>
      <c r="J901" s="42"/>
      <c r="K901" s="43"/>
      <c r="L901" s="43"/>
      <c r="M901" s="10"/>
      <c r="N901" s="10"/>
      <c r="O901" s="10"/>
      <c r="P901" s="10"/>
    </row>
    <row r="902" spans="1:16" x14ac:dyDescent="0.25">
      <c r="A902" s="1"/>
      <c r="B902" s="10"/>
      <c r="C902" s="42"/>
      <c r="D902" s="43"/>
      <c r="E902" s="10"/>
      <c r="F902" s="42"/>
      <c r="G902" s="43"/>
      <c r="H902" s="10"/>
      <c r="I902" s="10"/>
      <c r="J902" s="42"/>
      <c r="K902" s="43"/>
      <c r="L902" s="43"/>
      <c r="M902" s="10"/>
      <c r="N902" s="10"/>
      <c r="O902" s="10"/>
      <c r="P902" s="10"/>
    </row>
    <row r="903" spans="1:16" x14ac:dyDescent="0.25">
      <c r="A903" s="1"/>
      <c r="B903" s="10"/>
      <c r="C903" s="42"/>
      <c r="D903" s="43"/>
      <c r="E903" s="10"/>
      <c r="F903" s="42"/>
      <c r="G903" s="43"/>
      <c r="H903" s="10"/>
      <c r="I903" s="10"/>
      <c r="J903" s="42"/>
      <c r="K903" s="43"/>
      <c r="L903" s="43"/>
      <c r="M903" s="10"/>
      <c r="N903" s="10"/>
      <c r="O903" s="10"/>
      <c r="P903" s="10"/>
    </row>
    <row r="904" spans="1:16" x14ac:dyDescent="0.25">
      <c r="A904" s="1"/>
      <c r="B904" s="10"/>
      <c r="C904" s="42"/>
      <c r="D904" s="43"/>
      <c r="E904" s="10"/>
      <c r="F904" s="42"/>
      <c r="G904" s="43"/>
      <c r="H904" s="10"/>
      <c r="I904" s="10"/>
      <c r="J904" s="42"/>
      <c r="K904" s="43"/>
      <c r="L904" s="43"/>
      <c r="M904" s="10"/>
      <c r="N904" s="10"/>
      <c r="O904" s="10"/>
      <c r="P904" s="10"/>
    </row>
    <row r="905" spans="1:16" x14ac:dyDescent="0.25">
      <c r="A905" s="1"/>
      <c r="B905" s="10"/>
      <c r="C905" s="42"/>
      <c r="D905" s="43"/>
      <c r="E905" s="10"/>
      <c r="F905" s="42"/>
      <c r="G905" s="43"/>
      <c r="H905" s="10"/>
      <c r="I905" s="10"/>
      <c r="J905" s="42"/>
      <c r="K905" s="43"/>
      <c r="L905" s="43"/>
      <c r="M905" s="10"/>
      <c r="N905" s="10"/>
      <c r="O905" s="10"/>
      <c r="P905" s="10"/>
    </row>
    <row r="906" spans="1:16" x14ac:dyDescent="0.25">
      <c r="A906" s="1"/>
      <c r="B906" s="10"/>
      <c r="C906" s="42"/>
      <c r="D906" s="43"/>
      <c r="E906" s="10"/>
      <c r="F906" s="42"/>
      <c r="G906" s="43"/>
      <c r="H906" s="10"/>
      <c r="I906" s="10"/>
      <c r="J906" s="42"/>
      <c r="K906" s="43"/>
      <c r="L906" s="43"/>
      <c r="M906" s="10"/>
      <c r="N906" s="10"/>
      <c r="O906" s="10"/>
      <c r="P906" s="10"/>
    </row>
    <row r="907" spans="1:16" x14ac:dyDescent="0.25">
      <c r="A907" s="1"/>
      <c r="B907" s="10"/>
      <c r="C907" s="42"/>
      <c r="D907" s="43"/>
      <c r="E907" s="10"/>
      <c r="F907" s="42"/>
      <c r="G907" s="43"/>
      <c r="H907" s="10"/>
      <c r="I907" s="10"/>
      <c r="J907" s="42"/>
      <c r="K907" s="43"/>
      <c r="L907" s="43"/>
      <c r="M907" s="10"/>
      <c r="N907" s="10"/>
      <c r="O907" s="10"/>
      <c r="P907" s="10"/>
    </row>
    <row r="908" spans="1:16" x14ac:dyDescent="0.25">
      <c r="A908" s="1"/>
      <c r="B908" s="10"/>
      <c r="C908" s="42"/>
      <c r="D908" s="43"/>
      <c r="E908" s="10"/>
      <c r="F908" s="42"/>
      <c r="G908" s="43"/>
      <c r="H908" s="10"/>
      <c r="I908" s="10"/>
      <c r="J908" s="42"/>
      <c r="K908" s="43"/>
      <c r="L908" s="43"/>
      <c r="M908" s="10"/>
      <c r="N908" s="10"/>
      <c r="O908" s="10"/>
      <c r="P908" s="10"/>
    </row>
    <row r="909" spans="1:16" x14ac:dyDescent="0.25">
      <c r="A909" s="1"/>
      <c r="B909" s="10"/>
      <c r="C909" s="42"/>
      <c r="D909" s="43"/>
      <c r="E909" s="10"/>
      <c r="F909" s="42"/>
      <c r="G909" s="43"/>
      <c r="H909" s="10"/>
      <c r="I909" s="10"/>
      <c r="J909" s="42"/>
      <c r="K909" s="43"/>
      <c r="L909" s="43"/>
      <c r="M909" s="10"/>
      <c r="N909" s="10"/>
      <c r="O909" s="10"/>
      <c r="P909" s="10"/>
    </row>
    <row r="910" spans="1:16" x14ac:dyDescent="0.25">
      <c r="A910" s="1"/>
      <c r="B910" s="10"/>
      <c r="C910" s="42"/>
      <c r="D910" s="43"/>
      <c r="E910" s="10"/>
      <c r="F910" s="42"/>
      <c r="G910" s="43"/>
      <c r="H910" s="10"/>
      <c r="I910" s="10"/>
      <c r="J910" s="42"/>
      <c r="K910" s="43"/>
      <c r="L910" s="43"/>
      <c r="M910" s="10"/>
      <c r="N910" s="10"/>
      <c r="O910" s="10"/>
      <c r="P910" s="10"/>
    </row>
    <row r="911" spans="1:16" x14ac:dyDescent="0.25">
      <c r="A911" s="1"/>
      <c r="B911" s="10"/>
      <c r="C911" s="42"/>
      <c r="D911" s="43"/>
      <c r="E911" s="10"/>
      <c r="F911" s="42"/>
      <c r="G911" s="43"/>
      <c r="H911" s="10"/>
      <c r="I911" s="10"/>
      <c r="J911" s="42"/>
      <c r="K911" s="43"/>
      <c r="L911" s="43"/>
      <c r="M911" s="10"/>
      <c r="N911" s="10"/>
      <c r="O911" s="10"/>
      <c r="P911" s="10"/>
    </row>
    <row r="912" spans="1:16" x14ac:dyDescent="0.25">
      <c r="A912" s="1"/>
      <c r="B912" s="10"/>
      <c r="C912" s="42"/>
      <c r="D912" s="43"/>
      <c r="E912" s="10"/>
      <c r="F912" s="42"/>
      <c r="G912" s="43"/>
      <c r="H912" s="10"/>
      <c r="I912" s="10"/>
      <c r="J912" s="42"/>
      <c r="K912" s="43"/>
      <c r="L912" s="43"/>
      <c r="M912" s="10"/>
      <c r="N912" s="10"/>
      <c r="O912" s="10"/>
      <c r="P912" s="10"/>
    </row>
    <row r="913" spans="1:16" x14ac:dyDescent="0.25">
      <c r="A913" s="1"/>
      <c r="B913" s="10"/>
      <c r="C913" s="42"/>
      <c r="D913" s="43"/>
      <c r="E913" s="10"/>
      <c r="F913" s="42"/>
      <c r="G913" s="43"/>
      <c r="H913" s="10"/>
      <c r="I913" s="10"/>
      <c r="J913" s="42"/>
      <c r="K913" s="43"/>
      <c r="L913" s="43"/>
      <c r="M913" s="10"/>
      <c r="N913" s="10"/>
      <c r="O913" s="10"/>
      <c r="P913" s="10"/>
    </row>
    <row r="914" spans="1:16" x14ac:dyDescent="0.25">
      <c r="A914" s="1"/>
      <c r="B914" s="10"/>
      <c r="C914" s="42"/>
      <c r="D914" s="43"/>
      <c r="E914" s="10"/>
      <c r="F914" s="42"/>
      <c r="G914" s="43"/>
      <c r="H914" s="10"/>
      <c r="I914" s="10"/>
      <c r="J914" s="42"/>
      <c r="K914" s="43"/>
      <c r="L914" s="43"/>
      <c r="M914" s="10"/>
      <c r="N914" s="10"/>
      <c r="O914" s="10"/>
      <c r="P914" s="10"/>
    </row>
    <row r="915" spans="1:16" x14ac:dyDescent="0.25">
      <c r="A915" s="1"/>
      <c r="B915" s="10"/>
      <c r="C915" s="42"/>
      <c r="D915" s="43"/>
      <c r="E915" s="10"/>
      <c r="F915" s="42"/>
      <c r="G915" s="43"/>
      <c r="H915" s="10"/>
      <c r="I915" s="10"/>
      <c r="J915" s="42"/>
      <c r="K915" s="43"/>
      <c r="L915" s="43"/>
      <c r="M915" s="10"/>
      <c r="N915" s="10"/>
      <c r="O915" s="10"/>
      <c r="P915" s="10"/>
    </row>
    <row r="916" spans="1:16" x14ac:dyDescent="0.25">
      <c r="A916" s="1"/>
      <c r="B916" s="10"/>
      <c r="C916" s="42"/>
      <c r="D916" s="43"/>
      <c r="E916" s="10"/>
      <c r="F916" s="42"/>
      <c r="G916" s="43"/>
      <c r="H916" s="10"/>
      <c r="I916" s="10"/>
      <c r="J916" s="42"/>
      <c r="K916" s="43"/>
      <c r="L916" s="43"/>
      <c r="M916" s="10"/>
      <c r="N916" s="10"/>
      <c r="O916" s="10"/>
      <c r="P916" s="10"/>
    </row>
    <row r="917" spans="1:16" x14ac:dyDescent="0.25">
      <c r="A917" s="1"/>
      <c r="B917" s="10"/>
      <c r="C917" s="42"/>
      <c r="D917" s="43"/>
      <c r="E917" s="10"/>
      <c r="F917" s="42"/>
      <c r="G917" s="43"/>
      <c r="H917" s="10"/>
      <c r="I917" s="10"/>
      <c r="J917" s="42"/>
      <c r="K917" s="43"/>
      <c r="L917" s="43"/>
      <c r="M917" s="10"/>
      <c r="N917" s="10"/>
      <c r="O917" s="10"/>
      <c r="P917" s="10"/>
    </row>
    <row r="918" spans="1:16" x14ac:dyDescent="0.25">
      <c r="A918" s="1"/>
      <c r="B918" s="10"/>
      <c r="C918" s="42"/>
      <c r="D918" s="43"/>
      <c r="E918" s="10"/>
      <c r="F918" s="42"/>
      <c r="G918" s="43"/>
      <c r="H918" s="10"/>
      <c r="I918" s="10"/>
      <c r="J918" s="42"/>
      <c r="K918" s="43"/>
      <c r="L918" s="43"/>
      <c r="M918" s="10"/>
      <c r="N918" s="10"/>
      <c r="O918" s="10"/>
      <c r="P918" s="10"/>
    </row>
    <row r="919" spans="1:16" x14ac:dyDescent="0.25">
      <c r="A919" s="1"/>
      <c r="B919" s="10"/>
      <c r="C919" s="42"/>
      <c r="D919" s="43"/>
      <c r="E919" s="10"/>
      <c r="F919" s="42"/>
      <c r="G919" s="43"/>
      <c r="H919" s="10"/>
      <c r="I919" s="10"/>
      <c r="J919" s="42"/>
      <c r="K919" s="43"/>
      <c r="L919" s="43"/>
      <c r="M919" s="10"/>
      <c r="N919" s="10"/>
      <c r="O919" s="10"/>
      <c r="P919" s="10"/>
    </row>
    <row r="920" spans="1:16" x14ac:dyDescent="0.25">
      <c r="A920" s="1"/>
      <c r="B920" s="10"/>
      <c r="C920" s="42"/>
      <c r="D920" s="43"/>
      <c r="E920" s="10"/>
      <c r="F920" s="42"/>
      <c r="G920" s="43"/>
      <c r="H920" s="10"/>
      <c r="I920" s="10"/>
      <c r="J920" s="42"/>
      <c r="K920" s="43"/>
      <c r="L920" s="43"/>
      <c r="M920" s="10"/>
      <c r="N920" s="10"/>
      <c r="O920" s="10"/>
      <c r="P920" s="10"/>
    </row>
    <row r="921" spans="1:16" x14ac:dyDescent="0.25">
      <c r="A921" s="1"/>
      <c r="B921" s="10"/>
      <c r="C921" s="42"/>
      <c r="D921" s="43"/>
      <c r="E921" s="10"/>
      <c r="F921" s="42"/>
      <c r="G921" s="43"/>
      <c r="H921" s="10"/>
      <c r="I921" s="10"/>
      <c r="J921" s="42"/>
      <c r="K921" s="43"/>
      <c r="L921" s="43"/>
      <c r="M921" s="10"/>
      <c r="N921" s="10"/>
      <c r="O921" s="10"/>
      <c r="P921" s="10"/>
    </row>
    <row r="922" spans="1:16" x14ac:dyDescent="0.25">
      <c r="A922" s="1"/>
      <c r="B922" s="10"/>
      <c r="C922" s="42"/>
      <c r="D922" s="43"/>
      <c r="E922" s="10"/>
      <c r="F922" s="42"/>
      <c r="G922" s="43"/>
      <c r="H922" s="10"/>
      <c r="I922" s="10"/>
      <c r="J922" s="42"/>
      <c r="K922" s="43"/>
      <c r="L922" s="43"/>
      <c r="M922" s="10"/>
      <c r="N922" s="10"/>
      <c r="O922" s="10"/>
      <c r="P922" s="10"/>
    </row>
    <row r="923" spans="1:16" x14ac:dyDescent="0.25">
      <c r="A923" s="1"/>
      <c r="B923" s="10"/>
      <c r="C923" s="42"/>
      <c r="D923" s="43"/>
      <c r="E923" s="10"/>
      <c r="F923" s="42"/>
      <c r="G923" s="43"/>
      <c r="H923" s="10"/>
      <c r="I923" s="10"/>
      <c r="J923" s="42"/>
      <c r="K923" s="43"/>
      <c r="L923" s="43"/>
      <c r="M923" s="10"/>
      <c r="N923" s="10"/>
      <c r="O923" s="10"/>
      <c r="P923" s="10"/>
    </row>
    <row r="924" spans="1:16" x14ac:dyDescent="0.25">
      <c r="A924" s="1"/>
      <c r="B924" s="10"/>
      <c r="C924" s="42"/>
      <c r="D924" s="43"/>
      <c r="E924" s="10"/>
      <c r="F924" s="42"/>
      <c r="G924" s="43"/>
      <c r="H924" s="10"/>
      <c r="I924" s="10"/>
      <c r="J924" s="42"/>
      <c r="K924" s="43"/>
      <c r="L924" s="43"/>
      <c r="M924" s="10"/>
      <c r="N924" s="10"/>
      <c r="O924" s="10"/>
      <c r="P924" s="10"/>
    </row>
    <row r="925" spans="1:16" x14ac:dyDescent="0.25">
      <c r="A925" s="1"/>
      <c r="B925" s="10"/>
      <c r="C925" s="42"/>
      <c r="D925" s="43"/>
      <c r="E925" s="10"/>
      <c r="F925" s="42"/>
      <c r="G925" s="43"/>
      <c r="H925" s="10"/>
      <c r="I925" s="10"/>
      <c r="J925" s="42"/>
      <c r="K925" s="43"/>
      <c r="L925" s="43"/>
      <c r="M925" s="10"/>
      <c r="N925" s="10"/>
      <c r="O925" s="10"/>
      <c r="P925" s="10"/>
    </row>
    <row r="926" spans="1:16" x14ac:dyDescent="0.25">
      <c r="A926" s="1"/>
      <c r="B926" s="10"/>
      <c r="C926" s="42"/>
      <c r="D926" s="43"/>
      <c r="E926" s="10"/>
      <c r="F926" s="42"/>
      <c r="G926" s="43"/>
      <c r="H926" s="10"/>
      <c r="I926" s="10"/>
      <c r="J926" s="42"/>
      <c r="K926" s="43"/>
      <c r="L926" s="43"/>
      <c r="M926" s="10"/>
      <c r="N926" s="10"/>
      <c r="O926" s="10"/>
      <c r="P926" s="10"/>
    </row>
    <row r="927" spans="1:16" x14ac:dyDescent="0.25">
      <c r="A927" s="1"/>
      <c r="B927" s="10"/>
      <c r="C927" s="42"/>
      <c r="D927" s="43"/>
      <c r="E927" s="10"/>
      <c r="F927" s="42"/>
      <c r="G927" s="43"/>
      <c r="H927" s="10"/>
      <c r="I927" s="10"/>
      <c r="J927" s="42"/>
      <c r="K927" s="43"/>
      <c r="L927" s="43"/>
      <c r="M927" s="10"/>
      <c r="N927" s="10"/>
      <c r="O927" s="10"/>
      <c r="P927" s="10"/>
    </row>
    <row r="928" spans="1:16" x14ac:dyDescent="0.25">
      <c r="A928" s="1"/>
      <c r="B928" s="10"/>
      <c r="C928" s="42"/>
      <c r="D928" s="43"/>
      <c r="E928" s="10"/>
      <c r="F928" s="42"/>
      <c r="G928" s="43"/>
      <c r="H928" s="10"/>
      <c r="I928" s="10"/>
      <c r="J928" s="42"/>
      <c r="K928" s="43"/>
      <c r="L928" s="43"/>
      <c r="M928" s="10"/>
      <c r="N928" s="10"/>
      <c r="O928" s="10"/>
      <c r="P928" s="10"/>
    </row>
    <row r="929" spans="1:16" x14ac:dyDescent="0.25">
      <c r="A929" s="1"/>
      <c r="B929" s="10"/>
      <c r="C929" s="42"/>
      <c r="D929" s="43"/>
      <c r="E929" s="10"/>
      <c r="F929" s="42"/>
      <c r="G929" s="43"/>
      <c r="H929" s="10"/>
      <c r="I929" s="10"/>
      <c r="J929" s="42"/>
      <c r="K929" s="43"/>
      <c r="L929" s="43"/>
      <c r="M929" s="10"/>
      <c r="N929" s="10"/>
      <c r="O929" s="10"/>
      <c r="P929" s="10"/>
    </row>
    <row r="930" spans="1:16" x14ac:dyDescent="0.25">
      <c r="A930" s="1"/>
      <c r="B930" s="10"/>
      <c r="C930" s="42"/>
      <c r="D930" s="43"/>
      <c r="E930" s="10"/>
      <c r="F930" s="42"/>
      <c r="G930" s="43"/>
      <c r="H930" s="10"/>
      <c r="I930" s="10"/>
      <c r="J930" s="42"/>
      <c r="K930" s="43"/>
      <c r="L930" s="43"/>
      <c r="M930" s="10"/>
      <c r="N930" s="10"/>
      <c r="O930" s="10"/>
      <c r="P930" s="10"/>
    </row>
    <row r="931" spans="1:16" x14ac:dyDescent="0.25">
      <c r="A931" s="1"/>
      <c r="B931" s="10"/>
      <c r="C931" s="42"/>
      <c r="D931" s="43"/>
      <c r="E931" s="10"/>
      <c r="F931" s="42"/>
      <c r="G931" s="43"/>
      <c r="H931" s="10"/>
      <c r="I931" s="10"/>
      <c r="J931" s="42"/>
      <c r="K931" s="43"/>
      <c r="L931" s="43"/>
      <c r="M931" s="10"/>
      <c r="N931" s="10"/>
      <c r="O931" s="10"/>
      <c r="P931" s="10"/>
    </row>
    <row r="932" spans="1:16" x14ac:dyDescent="0.25">
      <c r="A932" s="1"/>
      <c r="B932" s="10"/>
      <c r="C932" s="42"/>
      <c r="D932" s="43"/>
      <c r="E932" s="10"/>
      <c r="F932" s="42"/>
      <c r="G932" s="43"/>
      <c r="H932" s="10"/>
      <c r="I932" s="10"/>
      <c r="J932" s="42"/>
      <c r="K932" s="43"/>
      <c r="L932" s="43"/>
      <c r="M932" s="10"/>
      <c r="N932" s="10"/>
      <c r="O932" s="10"/>
      <c r="P932" s="10"/>
    </row>
    <row r="933" spans="1:16" x14ac:dyDescent="0.25">
      <c r="A933" s="1"/>
      <c r="B933" s="10"/>
      <c r="C933" s="42"/>
      <c r="D933" s="43"/>
      <c r="E933" s="10"/>
      <c r="F933" s="42"/>
      <c r="G933" s="43"/>
      <c r="H933" s="10"/>
      <c r="I933" s="10"/>
      <c r="J933" s="42"/>
      <c r="K933" s="43"/>
      <c r="L933" s="43"/>
      <c r="M933" s="10"/>
      <c r="N933" s="10"/>
      <c r="O933" s="10"/>
      <c r="P933" s="10"/>
    </row>
    <row r="934" spans="1:16" x14ac:dyDescent="0.25">
      <c r="A934" s="1"/>
      <c r="B934" s="10"/>
      <c r="C934" s="42"/>
      <c r="D934" s="43"/>
      <c r="E934" s="10"/>
      <c r="F934" s="42"/>
      <c r="G934" s="43"/>
      <c r="H934" s="10"/>
      <c r="I934" s="10"/>
      <c r="J934" s="42"/>
      <c r="K934" s="43"/>
      <c r="L934" s="43"/>
      <c r="M934" s="10"/>
      <c r="N934" s="10"/>
      <c r="O934" s="10"/>
      <c r="P934" s="10"/>
    </row>
    <row r="935" spans="1:16" x14ac:dyDescent="0.25">
      <c r="A935" s="1"/>
      <c r="B935" s="10"/>
      <c r="C935" s="42"/>
      <c r="D935" s="43"/>
      <c r="E935" s="10"/>
      <c r="F935" s="42"/>
      <c r="G935" s="43"/>
      <c r="H935" s="10"/>
      <c r="I935" s="10"/>
      <c r="J935" s="42"/>
      <c r="K935" s="43"/>
      <c r="L935" s="43"/>
      <c r="M935" s="10"/>
      <c r="N935" s="10"/>
      <c r="O935" s="10"/>
      <c r="P935" s="10"/>
    </row>
    <row r="936" spans="1:16" x14ac:dyDescent="0.25">
      <c r="A936" s="1"/>
      <c r="B936" s="10"/>
      <c r="C936" s="42"/>
      <c r="D936" s="43"/>
      <c r="E936" s="10"/>
      <c r="F936" s="42"/>
      <c r="G936" s="43"/>
      <c r="H936" s="10"/>
      <c r="I936" s="10"/>
      <c r="J936" s="42"/>
      <c r="K936" s="43"/>
      <c r="L936" s="43"/>
      <c r="M936" s="10"/>
      <c r="N936" s="10"/>
      <c r="O936" s="10"/>
      <c r="P936" s="10"/>
    </row>
    <row r="937" spans="1:16" x14ac:dyDescent="0.25">
      <c r="A937" s="1"/>
      <c r="B937" s="10"/>
      <c r="C937" s="42"/>
      <c r="D937" s="43"/>
      <c r="E937" s="10"/>
      <c r="F937" s="42"/>
      <c r="G937" s="43"/>
      <c r="H937" s="10"/>
      <c r="I937" s="10"/>
      <c r="J937" s="42"/>
      <c r="K937" s="43"/>
      <c r="L937" s="43"/>
      <c r="M937" s="10"/>
      <c r="N937" s="10"/>
      <c r="O937" s="10"/>
      <c r="P937" s="10"/>
    </row>
    <row r="938" spans="1:16" x14ac:dyDescent="0.25">
      <c r="A938" s="1"/>
      <c r="B938" s="10"/>
      <c r="C938" s="42"/>
      <c r="D938" s="43"/>
      <c r="E938" s="10"/>
      <c r="F938" s="42"/>
      <c r="G938" s="43"/>
      <c r="H938" s="10"/>
      <c r="I938" s="10"/>
      <c r="J938" s="42"/>
      <c r="K938" s="43"/>
      <c r="L938" s="43"/>
      <c r="M938" s="10"/>
      <c r="N938" s="10"/>
      <c r="O938" s="10"/>
      <c r="P938" s="10"/>
    </row>
    <row r="939" spans="1:16" x14ac:dyDescent="0.25">
      <c r="A939" s="1"/>
      <c r="B939" s="10"/>
      <c r="C939" s="42"/>
      <c r="D939" s="43"/>
      <c r="E939" s="10"/>
      <c r="F939" s="42"/>
      <c r="G939" s="43"/>
      <c r="H939" s="10"/>
      <c r="I939" s="10"/>
      <c r="J939" s="42"/>
      <c r="K939" s="43"/>
      <c r="L939" s="43"/>
      <c r="M939" s="10"/>
      <c r="N939" s="10"/>
      <c r="O939" s="10"/>
      <c r="P939" s="10"/>
    </row>
    <row r="940" spans="1:16" x14ac:dyDescent="0.25">
      <c r="A940" s="1"/>
      <c r="B940" s="10"/>
      <c r="C940" s="42"/>
      <c r="D940" s="43"/>
      <c r="E940" s="10"/>
      <c r="F940" s="42"/>
      <c r="G940" s="43"/>
      <c r="H940" s="10"/>
      <c r="I940" s="10"/>
      <c r="J940" s="42"/>
      <c r="K940" s="43"/>
      <c r="L940" s="43"/>
      <c r="M940" s="10"/>
      <c r="N940" s="10"/>
      <c r="O940" s="10"/>
      <c r="P940" s="10"/>
    </row>
    <row r="941" spans="1:16" x14ac:dyDescent="0.25">
      <c r="A941" s="1"/>
      <c r="B941" s="10"/>
      <c r="C941" s="42"/>
      <c r="D941" s="43"/>
      <c r="E941" s="10"/>
      <c r="F941" s="42"/>
      <c r="G941" s="43"/>
      <c r="H941" s="10"/>
      <c r="I941" s="10"/>
      <c r="J941" s="42"/>
      <c r="K941" s="43"/>
      <c r="L941" s="43"/>
      <c r="M941" s="10"/>
      <c r="N941" s="10"/>
      <c r="O941" s="10"/>
      <c r="P941" s="10"/>
    </row>
    <row r="942" spans="1:16" x14ac:dyDescent="0.25">
      <c r="A942" s="1"/>
      <c r="B942" s="10"/>
      <c r="C942" s="42"/>
      <c r="D942" s="43"/>
      <c r="E942" s="10"/>
      <c r="F942" s="42"/>
      <c r="G942" s="43"/>
      <c r="H942" s="10"/>
      <c r="I942" s="10"/>
      <c r="J942" s="42"/>
      <c r="K942" s="43"/>
      <c r="L942" s="43"/>
      <c r="M942" s="10"/>
      <c r="N942" s="10"/>
      <c r="O942" s="10"/>
      <c r="P942" s="10"/>
    </row>
    <row r="943" spans="1:16" x14ac:dyDescent="0.25">
      <c r="A943" s="1"/>
      <c r="B943" s="10"/>
      <c r="C943" s="42"/>
      <c r="D943" s="43"/>
      <c r="E943" s="10"/>
      <c r="F943" s="42"/>
      <c r="G943" s="43"/>
      <c r="H943" s="10"/>
      <c r="I943" s="10"/>
      <c r="J943" s="42"/>
      <c r="K943" s="43"/>
      <c r="L943" s="43"/>
      <c r="M943" s="10"/>
      <c r="N943" s="10"/>
      <c r="O943" s="10"/>
      <c r="P943" s="10"/>
    </row>
    <row r="944" spans="1:16" x14ac:dyDescent="0.25">
      <c r="A944" s="1"/>
      <c r="B944" s="10"/>
      <c r="C944" s="42"/>
      <c r="D944" s="43"/>
      <c r="E944" s="10"/>
      <c r="F944" s="42"/>
      <c r="G944" s="43"/>
      <c r="H944" s="10"/>
      <c r="I944" s="10"/>
      <c r="J944" s="42"/>
      <c r="K944" s="43"/>
      <c r="L944" s="43"/>
      <c r="M944" s="10"/>
      <c r="N944" s="10"/>
      <c r="O944" s="10"/>
      <c r="P944" s="10"/>
    </row>
    <row r="945" spans="1:16" x14ac:dyDescent="0.25">
      <c r="A945" s="1"/>
      <c r="B945" s="10"/>
      <c r="C945" s="42"/>
      <c r="D945" s="43"/>
      <c r="E945" s="10"/>
      <c r="F945" s="42"/>
      <c r="G945" s="43"/>
      <c r="H945" s="10"/>
      <c r="I945" s="10"/>
      <c r="J945" s="42"/>
      <c r="K945" s="43"/>
      <c r="L945" s="43"/>
      <c r="M945" s="10"/>
      <c r="N945" s="10"/>
      <c r="O945" s="10"/>
      <c r="P945" s="10"/>
    </row>
    <row r="946" spans="1:16" x14ac:dyDescent="0.25">
      <c r="A946" s="1"/>
      <c r="B946" s="10"/>
      <c r="C946" s="42"/>
      <c r="D946" s="43"/>
      <c r="E946" s="10"/>
      <c r="F946" s="42"/>
      <c r="G946" s="43"/>
      <c r="H946" s="10"/>
      <c r="I946" s="10"/>
      <c r="J946" s="42"/>
      <c r="K946" s="43"/>
      <c r="L946" s="43"/>
      <c r="M946" s="10"/>
      <c r="N946" s="10"/>
      <c r="O946" s="10"/>
      <c r="P946" s="10"/>
    </row>
    <row r="947" spans="1:16" x14ac:dyDescent="0.25">
      <c r="A947" s="1"/>
      <c r="B947" s="10"/>
      <c r="C947" s="42"/>
      <c r="D947" s="43"/>
      <c r="E947" s="10"/>
      <c r="F947" s="42"/>
      <c r="G947" s="43"/>
      <c r="H947" s="10"/>
      <c r="I947" s="10"/>
      <c r="J947" s="42"/>
      <c r="K947" s="43"/>
      <c r="L947" s="43"/>
      <c r="M947" s="10"/>
      <c r="N947" s="10"/>
      <c r="O947" s="10"/>
      <c r="P947" s="10"/>
    </row>
    <row r="948" spans="1:16" x14ac:dyDescent="0.25">
      <c r="A948" s="1"/>
      <c r="B948" s="10"/>
      <c r="C948" s="42"/>
      <c r="D948" s="43"/>
      <c r="E948" s="10"/>
      <c r="F948" s="42"/>
      <c r="G948" s="43"/>
      <c r="H948" s="10"/>
      <c r="I948" s="10"/>
      <c r="J948" s="42"/>
      <c r="K948" s="43"/>
      <c r="L948" s="43"/>
      <c r="M948" s="10"/>
      <c r="N948" s="10"/>
      <c r="O948" s="10"/>
      <c r="P948" s="10"/>
    </row>
    <row r="949" spans="1:16" x14ac:dyDescent="0.25">
      <c r="A949" s="1"/>
      <c r="B949" s="10"/>
      <c r="C949" s="42"/>
      <c r="D949" s="43"/>
      <c r="E949" s="10"/>
      <c r="F949" s="42"/>
      <c r="G949" s="43"/>
      <c r="H949" s="10"/>
      <c r="I949" s="10"/>
      <c r="J949" s="42"/>
      <c r="K949" s="43"/>
      <c r="L949" s="43"/>
      <c r="M949" s="10"/>
      <c r="N949" s="10"/>
      <c r="O949" s="10"/>
      <c r="P949" s="10"/>
    </row>
    <row r="950" spans="1:16" x14ac:dyDescent="0.25">
      <c r="A950" s="1"/>
      <c r="B950" s="10"/>
      <c r="C950" s="42"/>
      <c r="D950" s="43"/>
      <c r="E950" s="10"/>
      <c r="F950" s="42"/>
      <c r="G950" s="43"/>
      <c r="H950" s="10"/>
      <c r="I950" s="10"/>
      <c r="J950" s="42"/>
      <c r="K950" s="43"/>
      <c r="L950" s="43"/>
      <c r="M950" s="10"/>
      <c r="N950" s="10"/>
      <c r="O950" s="10"/>
      <c r="P950" s="10"/>
    </row>
    <row r="951" spans="1:16" x14ac:dyDescent="0.25">
      <c r="A951" s="1"/>
      <c r="B951" s="10"/>
      <c r="C951" s="42"/>
      <c r="D951" s="43"/>
      <c r="E951" s="10"/>
      <c r="F951" s="42"/>
      <c r="G951" s="43"/>
      <c r="H951" s="10"/>
      <c r="I951" s="10"/>
      <c r="J951" s="42"/>
      <c r="K951" s="43"/>
      <c r="L951" s="43"/>
      <c r="M951" s="10"/>
      <c r="N951" s="10"/>
      <c r="O951" s="10"/>
      <c r="P951" s="10"/>
    </row>
    <row r="952" spans="1:16" x14ac:dyDescent="0.25">
      <c r="A952" s="1"/>
      <c r="B952" s="10"/>
      <c r="C952" s="42"/>
      <c r="D952" s="43"/>
      <c r="E952" s="10"/>
      <c r="F952" s="42"/>
      <c r="G952" s="43"/>
      <c r="H952" s="10"/>
      <c r="I952" s="10"/>
      <c r="J952" s="42"/>
      <c r="K952" s="43"/>
      <c r="L952" s="43"/>
      <c r="M952" s="10"/>
      <c r="N952" s="10"/>
      <c r="O952" s="10"/>
      <c r="P952" s="10"/>
    </row>
    <row r="953" spans="1:16" x14ac:dyDescent="0.25">
      <c r="A953" s="1"/>
      <c r="B953" s="10"/>
      <c r="C953" s="42"/>
      <c r="D953" s="43"/>
      <c r="E953" s="10"/>
      <c r="F953" s="42"/>
      <c r="G953" s="43"/>
      <c r="H953" s="10"/>
      <c r="I953" s="10"/>
      <c r="J953" s="42"/>
      <c r="K953" s="43"/>
      <c r="L953" s="43"/>
      <c r="M953" s="10"/>
      <c r="N953" s="10"/>
      <c r="O953" s="10"/>
      <c r="P953" s="10"/>
    </row>
    <row r="954" spans="1:16" x14ac:dyDescent="0.25">
      <c r="A954" s="1"/>
      <c r="B954" s="10"/>
      <c r="C954" s="42"/>
      <c r="D954" s="43"/>
      <c r="E954" s="10"/>
      <c r="F954" s="42"/>
      <c r="G954" s="43"/>
      <c r="H954" s="10"/>
      <c r="I954" s="10"/>
      <c r="J954" s="42"/>
      <c r="K954" s="43"/>
      <c r="L954" s="43"/>
      <c r="M954" s="10"/>
      <c r="N954" s="10"/>
      <c r="O954" s="10"/>
      <c r="P954" s="10"/>
    </row>
    <row r="955" spans="1:16" x14ac:dyDescent="0.25">
      <c r="A955" s="1"/>
      <c r="B955" s="10"/>
      <c r="C955" s="42"/>
      <c r="D955" s="43"/>
      <c r="E955" s="10"/>
      <c r="F955" s="42"/>
      <c r="G955" s="43"/>
      <c r="H955" s="10"/>
      <c r="I955" s="10"/>
      <c r="J955" s="42"/>
      <c r="K955" s="43"/>
      <c r="L955" s="43"/>
      <c r="M955" s="10"/>
      <c r="N955" s="10"/>
      <c r="O955" s="10"/>
      <c r="P955" s="10"/>
    </row>
    <row r="956" spans="1:16" x14ac:dyDescent="0.25">
      <c r="A956" s="1"/>
      <c r="B956" s="10"/>
      <c r="C956" s="42"/>
      <c r="D956" s="43"/>
      <c r="E956" s="10"/>
      <c r="F956" s="42"/>
      <c r="G956" s="43"/>
      <c r="H956" s="10"/>
      <c r="I956" s="10"/>
      <c r="J956" s="42"/>
      <c r="K956" s="43"/>
      <c r="L956" s="43"/>
      <c r="M956" s="10"/>
      <c r="N956" s="10"/>
      <c r="O956" s="10"/>
      <c r="P956" s="10"/>
    </row>
    <row r="957" spans="1:16" x14ac:dyDescent="0.25">
      <c r="A957" s="1"/>
      <c r="B957" s="10"/>
      <c r="C957" s="42"/>
      <c r="D957" s="43"/>
      <c r="E957" s="10"/>
      <c r="F957" s="42"/>
      <c r="G957" s="43"/>
      <c r="H957" s="10"/>
      <c r="I957" s="10"/>
      <c r="J957" s="42"/>
      <c r="K957" s="43"/>
      <c r="L957" s="43"/>
      <c r="M957" s="10"/>
      <c r="N957" s="10"/>
      <c r="O957" s="10"/>
      <c r="P957" s="10"/>
    </row>
    <row r="958" spans="1:16" x14ac:dyDescent="0.25">
      <c r="A958" s="1"/>
      <c r="B958" s="10"/>
      <c r="C958" s="42"/>
      <c r="D958" s="43"/>
      <c r="E958" s="10"/>
      <c r="F958" s="42"/>
      <c r="G958" s="43"/>
      <c r="H958" s="10"/>
      <c r="I958" s="10"/>
      <c r="J958" s="42"/>
      <c r="K958" s="43"/>
      <c r="L958" s="43"/>
      <c r="M958" s="10"/>
      <c r="N958" s="10"/>
      <c r="O958" s="10"/>
      <c r="P958" s="10"/>
    </row>
    <row r="959" spans="1:16" x14ac:dyDescent="0.25">
      <c r="A959" s="1"/>
      <c r="B959" s="10"/>
      <c r="C959" s="42"/>
      <c r="D959" s="43"/>
      <c r="E959" s="10"/>
      <c r="F959" s="42"/>
      <c r="G959" s="43"/>
      <c r="H959" s="10"/>
      <c r="I959" s="10"/>
      <c r="J959" s="42"/>
      <c r="K959" s="43"/>
      <c r="L959" s="43"/>
      <c r="M959" s="10"/>
      <c r="N959" s="10"/>
      <c r="O959" s="10"/>
      <c r="P959" s="10"/>
    </row>
    <row r="960" spans="1:16" x14ac:dyDescent="0.25">
      <c r="A960" s="1"/>
      <c r="B960" s="10"/>
      <c r="C960" s="42"/>
      <c r="D960" s="43"/>
      <c r="E960" s="10"/>
      <c r="F960" s="42"/>
      <c r="G960" s="43"/>
      <c r="H960" s="10"/>
      <c r="I960" s="10"/>
      <c r="J960" s="42"/>
      <c r="K960" s="43"/>
      <c r="L960" s="43"/>
      <c r="M960" s="10"/>
      <c r="N960" s="10"/>
      <c r="O960" s="10"/>
      <c r="P960" s="10"/>
    </row>
    <row r="961" spans="1:16" x14ac:dyDescent="0.25">
      <c r="A961" s="1"/>
      <c r="B961" s="10"/>
      <c r="C961" s="42"/>
      <c r="D961" s="43"/>
      <c r="E961" s="10"/>
      <c r="F961" s="42"/>
      <c r="G961" s="43"/>
      <c r="H961" s="10"/>
      <c r="I961" s="10"/>
      <c r="J961" s="42"/>
      <c r="K961" s="43"/>
      <c r="L961" s="43"/>
      <c r="M961" s="10"/>
      <c r="N961" s="10"/>
      <c r="O961" s="10"/>
      <c r="P961" s="10"/>
    </row>
    <row r="962" spans="1:16" x14ac:dyDescent="0.25">
      <c r="A962" s="1"/>
      <c r="B962" s="10"/>
      <c r="C962" s="42"/>
      <c r="D962" s="43"/>
      <c r="E962" s="10"/>
      <c r="F962" s="42"/>
      <c r="G962" s="43"/>
      <c r="H962" s="10"/>
      <c r="I962" s="10"/>
      <c r="J962" s="42"/>
      <c r="K962" s="43"/>
      <c r="L962" s="43"/>
      <c r="M962" s="10"/>
      <c r="N962" s="10"/>
      <c r="O962" s="10"/>
      <c r="P962" s="10"/>
    </row>
    <row r="963" spans="1:16" x14ac:dyDescent="0.25">
      <c r="A963" s="1"/>
      <c r="B963" s="10"/>
      <c r="C963" s="42"/>
      <c r="D963" s="43"/>
      <c r="E963" s="10"/>
      <c r="F963" s="42"/>
      <c r="G963" s="43"/>
      <c r="H963" s="10"/>
      <c r="I963" s="10"/>
      <c r="J963" s="42"/>
      <c r="K963" s="43"/>
      <c r="L963" s="43"/>
      <c r="M963" s="10"/>
      <c r="N963" s="10"/>
      <c r="O963" s="10"/>
      <c r="P963" s="10"/>
    </row>
    <row r="964" spans="1:16" x14ac:dyDescent="0.25">
      <c r="A964" s="1"/>
      <c r="B964" s="10"/>
      <c r="C964" s="42"/>
      <c r="D964" s="43"/>
      <c r="E964" s="10"/>
      <c r="F964" s="42"/>
      <c r="G964" s="43"/>
      <c r="H964" s="10"/>
      <c r="I964" s="10"/>
      <c r="J964" s="42"/>
      <c r="K964" s="43"/>
      <c r="L964" s="43"/>
      <c r="M964" s="10"/>
      <c r="N964" s="10"/>
      <c r="O964" s="10"/>
      <c r="P964" s="10"/>
    </row>
    <row r="965" spans="1:16" x14ac:dyDescent="0.25">
      <c r="A965" s="1"/>
      <c r="B965" s="10"/>
      <c r="C965" s="42"/>
      <c r="D965" s="43"/>
      <c r="E965" s="10"/>
      <c r="F965" s="42"/>
      <c r="G965" s="43"/>
      <c r="H965" s="10"/>
      <c r="I965" s="10"/>
      <c r="J965" s="42"/>
      <c r="K965" s="43"/>
      <c r="L965" s="43"/>
      <c r="M965" s="10"/>
      <c r="N965" s="10"/>
      <c r="O965" s="10"/>
      <c r="P965" s="10"/>
    </row>
    <row r="966" spans="1:16" x14ac:dyDescent="0.25">
      <c r="A966" s="1"/>
      <c r="B966" s="10"/>
      <c r="C966" s="42"/>
      <c r="D966" s="43"/>
      <c r="E966" s="10"/>
      <c r="F966" s="42"/>
      <c r="G966" s="43"/>
      <c r="H966" s="10"/>
      <c r="I966" s="10"/>
      <c r="J966" s="42"/>
      <c r="K966" s="43"/>
      <c r="L966" s="43"/>
      <c r="M966" s="10"/>
      <c r="N966" s="10"/>
      <c r="O966" s="10"/>
      <c r="P966" s="10"/>
    </row>
    <row r="967" spans="1:16" x14ac:dyDescent="0.25">
      <c r="A967" s="1"/>
      <c r="B967" s="10"/>
      <c r="C967" s="42"/>
      <c r="D967" s="43"/>
      <c r="E967" s="10"/>
      <c r="F967" s="42"/>
      <c r="G967" s="43"/>
      <c r="H967" s="10"/>
      <c r="I967" s="10"/>
      <c r="J967" s="42"/>
      <c r="K967" s="43"/>
      <c r="L967" s="43"/>
      <c r="M967" s="10"/>
      <c r="N967" s="10"/>
      <c r="O967" s="10"/>
      <c r="P967" s="10"/>
    </row>
    <row r="968" spans="1:16" x14ac:dyDescent="0.25">
      <c r="A968" s="1"/>
      <c r="B968" s="10"/>
      <c r="C968" s="42"/>
      <c r="D968" s="43"/>
      <c r="E968" s="10"/>
      <c r="F968" s="42"/>
      <c r="G968" s="43"/>
      <c r="H968" s="10"/>
      <c r="I968" s="10"/>
      <c r="J968" s="42"/>
      <c r="K968" s="43"/>
      <c r="L968" s="43"/>
      <c r="M968" s="10"/>
      <c r="N968" s="10"/>
      <c r="O968" s="10"/>
      <c r="P968" s="10"/>
    </row>
    <row r="969" spans="1:16" x14ac:dyDescent="0.25">
      <c r="A969" s="1"/>
      <c r="B969" s="10"/>
      <c r="C969" s="42"/>
      <c r="D969" s="43"/>
      <c r="E969" s="10"/>
      <c r="F969" s="42"/>
      <c r="G969" s="43"/>
      <c r="H969" s="10"/>
      <c r="I969" s="10"/>
      <c r="J969" s="42"/>
      <c r="K969" s="43"/>
      <c r="L969" s="43"/>
      <c r="M969" s="10"/>
      <c r="N969" s="10"/>
      <c r="O969" s="10"/>
      <c r="P969" s="10"/>
    </row>
    <row r="970" spans="1:16" x14ac:dyDescent="0.25">
      <c r="A970" s="1"/>
      <c r="B970" s="10"/>
      <c r="C970" s="42"/>
      <c r="D970" s="43"/>
      <c r="E970" s="10"/>
      <c r="F970" s="42"/>
      <c r="G970" s="43"/>
      <c r="H970" s="10"/>
      <c r="I970" s="10"/>
      <c r="J970" s="42"/>
      <c r="K970" s="43"/>
      <c r="L970" s="43"/>
      <c r="M970" s="10"/>
      <c r="N970" s="10"/>
      <c r="O970" s="10"/>
      <c r="P970" s="10"/>
    </row>
    <row r="971" spans="1:16" x14ac:dyDescent="0.25">
      <c r="A971" s="1"/>
      <c r="B971" s="10"/>
      <c r="C971" s="42"/>
      <c r="D971" s="43"/>
      <c r="E971" s="10"/>
      <c r="F971" s="42"/>
      <c r="G971" s="43"/>
      <c r="H971" s="10"/>
      <c r="I971" s="10"/>
      <c r="J971" s="42"/>
      <c r="K971" s="43"/>
      <c r="L971" s="43"/>
      <c r="M971" s="10"/>
      <c r="N971" s="10"/>
      <c r="O971" s="10"/>
      <c r="P971" s="10"/>
    </row>
    <row r="972" spans="1:16" x14ac:dyDescent="0.25">
      <c r="A972" s="1"/>
      <c r="B972" s="10"/>
      <c r="C972" s="42"/>
      <c r="D972" s="43"/>
      <c r="E972" s="10"/>
      <c r="F972" s="42"/>
      <c r="G972" s="43"/>
      <c r="H972" s="10"/>
      <c r="I972" s="10"/>
      <c r="J972" s="42"/>
      <c r="K972" s="43"/>
      <c r="L972" s="43"/>
      <c r="M972" s="10"/>
      <c r="N972" s="10"/>
      <c r="O972" s="10"/>
      <c r="P972" s="10"/>
    </row>
    <row r="973" spans="1:16" x14ac:dyDescent="0.25">
      <c r="A973" s="1"/>
      <c r="B973" s="10"/>
      <c r="C973" s="42"/>
      <c r="D973" s="43"/>
      <c r="E973" s="10"/>
      <c r="F973" s="42"/>
      <c r="G973" s="43"/>
      <c r="H973" s="10"/>
      <c r="I973" s="10"/>
      <c r="J973" s="42"/>
      <c r="K973" s="43"/>
      <c r="L973" s="43"/>
      <c r="M973" s="10"/>
      <c r="N973" s="10"/>
      <c r="O973" s="10"/>
      <c r="P973" s="10"/>
    </row>
    <row r="974" spans="1:16" x14ac:dyDescent="0.25">
      <c r="A974" s="1"/>
      <c r="B974" s="10"/>
      <c r="C974" s="42"/>
      <c r="D974" s="43"/>
      <c r="E974" s="10"/>
      <c r="F974" s="42"/>
      <c r="G974" s="43"/>
      <c r="H974" s="10"/>
      <c r="I974" s="10"/>
      <c r="J974" s="42"/>
      <c r="K974" s="43"/>
      <c r="L974" s="43"/>
      <c r="M974" s="10"/>
      <c r="N974" s="10"/>
      <c r="O974" s="10"/>
      <c r="P974" s="10"/>
    </row>
    <row r="975" spans="1:16" x14ac:dyDescent="0.25">
      <c r="A975" s="1"/>
      <c r="B975" s="10"/>
      <c r="C975" s="42"/>
      <c r="D975" s="43"/>
      <c r="E975" s="10"/>
      <c r="F975" s="42"/>
      <c r="G975" s="43"/>
      <c r="H975" s="10"/>
      <c r="I975" s="10"/>
      <c r="J975" s="42"/>
      <c r="K975" s="43"/>
      <c r="L975" s="43"/>
      <c r="M975" s="10"/>
      <c r="N975" s="10"/>
      <c r="O975" s="10"/>
      <c r="P975" s="10"/>
    </row>
    <row r="976" spans="1:16" x14ac:dyDescent="0.25">
      <c r="A976" s="1"/>
      <c r="B976" s="10"/>
      <c r="C976" s="42"/>
      <c r="D976" s="43"/>
      <c r="E976" s="10"/>
      <c r="F976" s="42"/>
      <c r="G976" s="43"/>
      <c r="H976" s="10"/>
      <c r="I976" s="10"/>
      <c r="J976" s="42"/>
      <c r="K976" s="43"/>
      <c r="L976" s="43"/>
      <c r="M976" s="10"/>
      <c r="N976" s="10"/>
      <c r="O976" s="10"/>
      <c r="P976" s="10"/>
    </row>
    <row r="977" spans="1:16" x14ac:dyDescent="0.25">
      <c r="A977" s="1"/>
      <c r="B977" s="10"/>
      <c r="C977" s="42"/>
      <c r="D977" s="43"/>
      <c r="E977" s="10"/>
      <c r="F977" s="42"/>
      <c r="G977" s="43"/>
      <c r="H977" s="10"/>
      <c r="I977" s="10"/>
      <c r="J977" s="42"/>
      <c r="K977" s="43"/>
      <c r="L977" s="43"/>
      <c r="M977" s="10"/>
      <c r="N977" s="10"/>
      <c r="O977" s="10"/>
      <c r="P977" s="10"/>
    </row>
    <row r="978" spans="1:16" x14ac:dyDescent="0.25">
      <c r="A978" s="1"/>
      <c r="B978" s="10"/>
      <c r="C978" s="42"/>
      <c r="D978" s="43"/>
      <c r="E978" s="10"/>
      <c r="F978" s="42"/>
      <c r="G978" s="43"/>
      <c r="H978" s="10"/>
      <c r="I978" s="10"/>
      <c r="J978" s="42"/>
      <c r="K978" s="43"/>
      <c r="L978" s="43"/>
      <c r="M978" s="10"/>
      <c r="N978" s="10"/>
      <c r="O978" s="10"/>
      <c r="P978" s="10"/>
    </row>
    <row r="979" spans="1:16" x14ac:dyDescent="0.25">
      <c r="A979" s="1"/>
      <c r="B979" s="10"/>
      <c r="C979" s="42"/>
      <c r="D979" s="43"/>
      <c r="E979" s="10"/>
      <c r="F979" s="42"/>
      <c r="G979" s="43"/>
      <c r="H979" s="10"/>
      <c r="I979" s="10"/>
      <c r="J979" s="42"/>
      <c r="K979" s="43"/>
      <c r="L979" s="43"/>
      <c r="M979" s="10"/>
      <c r="N979" s="10"/>
      <c r="O979" s="10"/>
      <c r="P979" s="10"/>
    </row>
    <row r="980" spans="1:16" x14ac:dyDescent="0.25">
      <c r="A980" s="1"/>
      <c r="B980" s="10"/>
      <c r="C980" s="42"/>
      <c r="D980" s="43"/>
      <c r="E980" s="10"/>
      <c r="F980" s="42"/>
      <c r="G980" s="43"/>
      <c r="H980" s="10"/>
      <c r="I980" s="10"/>
      <c r="J980" s="42"/>
      <c r="K980" s="43"/>
      <c r="L980" s="43"/>
      <c r="M980" s="10"/>
      <c r="N980" s="10"/>
      <c r="O980" s="10"/>
      <c r="P980" s="10"/>
    </row>
    <row r="981" spans="1:16" x14ac:dyDescent="0.25">
      <c r="A981" s="1"/>
      <c r="B981" s="10"/>
      <c r="C981" s="42"/>
      <c r="D981" s="43"/>
      <c r="E981" s="10"/>
      <c r="F981" s="42"/>
      <c r="G981" s="43"/>
      <c r="H981" s="10"/>
      <c r="I981" s="10"/>
      <c r="J981" s="42"/>
      <c r="K981" s="43"/>
      <c r="L981" s="43"/>
      <c r="M981" s="10"/>
      <c r="N981" s="10"/>
      <c r="O981" s="10"/>
      <c r="P981" s="10"/>
    </row>
    <row r="982" spans="1:16" x14ac:dyDescent="0.25">
      <c r="A982" s="1"/>
      <c r="B982" s="10"/>
      <c r="C982" s="42"/>
      <c r="D982" s="43"/>
      <c r="E982" s="10"/>
      <c r="F982" s="42"/>
      <c r="G982" s="43"/>
      <c r="H982" s="10"/>
      <c r="I982" s="10"/>
      <c r="J982" s="42"/>
      <c r="K982" s="43"/>
      <c r="L982" s="43"/>
      <c r="M982" s="10"/>
      <c r="N982" s="10"/>
      <c r="O982" s="10"/>
      <c r="P982" s="10"/>
    </row>
    <row r="983" spans="1:16" x14ac:dyDescent="0.25">
      <c r="A983" s="1"/>
      <c r="B983" s="10"/>
      <c r="C983" s="42"/>
      <c r="D983" s="43"/>
      <c r="E983" s="10"/>
      <c r="F983" s="42"/>
      <c r="G983" s="43"/>
      <c r="H983" s="10"/>
      <c r="I983" s="10"/>
      <c r="J983" s="42"/>
      <c r="K983" s="43"/>
      <c r="L983" s="43"/>
      <c r="M983" s="10"/>
      <c r="N983" s="10"/>
      <c r="O983" s="10"/>
      <c r="P983" s="10"/>
    </row>
    <row r="984" spans="1:16" x14ac:dyDescent="0.25">
      <c r="A984" s="1"/>
      <c r="B984" s="10"/>
      <c r="C984" s="42"/>
      <c r="D984" s="43"/>
      <c r="E984" s="10"/>
      <c r="F984" s="42"/>
      <c r="G984" s="43"/>
      <c r="H984" s="10"/>
      <c r="I984" s="10"/>
      <c r="J984" s="42"/>
      <c r="K984" s="43"/>
      <c r="L984" s="43"/>
      <c r="M984" s="10"/>
      <c r="N984" s="10"/>
      <c r="O984" s="10"/>
      <c r="P984" s="10"/>
    </row>
    <row r="985" spans="1:16" x14ac:dyDescent="0.25">
      <c r="A985" s="1"/>
      <c r="B985" s="10"/>
      <c r="C985" s="42"/>
      <c r="D985" s="43"/>
      <c r="E985" s="10"/>
      <c r="F985" s="42"/>
      <c r="G985" s="43"/>
      <c r="H985" s="10"/>
      <c r="I985" s="10"/>
      <c r="J985" s="42"/>
      <c r="K985" s="43"/>
      <c r="L985" s="43"/>
      <c r="M985" s="10"/>
      <c r="N985" s="10"/>
      <c r="O985" s="10"/>
      <c r="P985" s="10"/>
    </row>
    <row r="986" spans="1:16" x14ac:dyDescent="0.25">
      <c r="A986" s="1"/>
      <c r="B986" s="10"/>
      <c r="C986" s="42"/>
      <c r="D986" s="43"/>
      <c r="E986" s="10"/>
      <c r="F986" s="42"/>
      <c r="G986" s="43"/>
      <c r="H986" s="10"/>
      <c r="I986" s="10"/>
      <c r="J986" s="42"/>
      <c r="K986" s="43"/>
      <c r="L986" s="43"/>
      <c r="M986" s="10"/>
      <c r="N986" s="10"/>
      <c r="O986" s="10"/>
      <c r="P986" s="10"/>
    </row>
    <row r="987" spans="1:16" x14ac:dyDescent="0.25">
      <c r="A987" s="1"/>
      <c r="B987" s="10"/>
      <c r="C987" s="42"/>
      <c r="D987" s="43"/>
      <c r="E987" s="10"/>
      <c r="F987" s="42"/>
      <c r="G987" s="43"/>
      <c r="H987" s="10"/>
      <c r="I987" s="10"/>
      <c r="J987" s="42"/>
      <c r="K987" s="43"/>
      <c r="L987" s="43"/>
      <c r="M987" s="10"/>
      <c r="N987" s="10"/>
      <c r="O987" s="10"/>
      <c r="P987" s="10"/>
    </row>
    <row r="988" spans="1:16" x14ac:dyDescent="0.25">
      <c r="A988" s="1"/>
      <c r="B988" s="10"/>
      <c r="C988" s="42"/>
      <c r="D988" s="43"/>
      <c r="E988" s="10"/>
      <c r="F988" s="42"/>
      <c r="G988" s="43"/>
      <c r="H988" s="10"/>
      <c r="I988" s="10"/>
      <c r="J988" s="42"/>
      <c r="K988" s="43"/>
      <c r="L988" s="43"/>
      <c r="M988" s="10"/>
      <c r="N988" s="10"/>
      <c r="O988" s="10"/>
      <c r="P988" s="10"/>
    </row>
    <row r="989" spans="1:16" x14ac:dyDescent="0.25">
      <c r="A989" s="1"/>
      <c r="B989" s="10"/>
      <c r="C989" s="42"/>
      <c r="D989" s="43"/>
      <c r="E989" s="10"/>
      <c r="F989" s="42"/>
      <c r="G989" s="43"/>
      <c r="H989" s="10"/>
      <c r="I989" s="10"/>
      <c r="J989" s="42"/>
      <c r="K989" s="43"/>
      <c r="L989" s="43"/>
      <c r="M989" s="10"/>
      <c r="N989" s="10"/>
      <c r="O989" s="10"/>
      <c r="P989" s="10"/>
    </row>
    <row r="990" spans="1:16" x14ac:dyDescent="0.25">
      <c r="A990" s="1"/>
      <c r="B990" s="10"/>
      <c r="C990" s="42"/>
      <c r="D990" s="43"/>
      <c r="E990" s="10"/>
      <c r="F990" s="42"/>
      <c r="G990" s="43"/>
      <c r="H990" s="10"/>
      <c r="I990" s="10"/>
      <c r="J990" s="42"/>
      <c r="K990" s="43"/>
      <c r="L990" s="43"/>
      <c r="M990" s="10"/>
      <c r="N990" s="10"/>
      <c r="O990" s="10"/>
      <c r="P990" s="10"/>
    </row>
    <row r="991" spans="1:16" x14ac:dyDescent="0.25">
      <c r="A991" s="1"/>
      <c r="B991" s="10"/>
      <c r="C991" s="42"/>
      <c r="D991" s="43"/>
      <c r="E991" s="10"/>
      <c r="F991" s="42"/>
      <c r="G991" s="43"/>
      <c r="H991" s="10"/>
      <c r="I991" s="10"/>
      <c r="J991" s="42"/>
      <c r="K991" s="43"/>
      <c r="L991" s="43"/>
      <c r="M991" s="10"/>
      <c r="N991" s="10"/>
      <c r="O991" s="10"/>
      <c r="P991" s="10"/>
    </row>
    <row r="992" spans="1:16" x14ac:dyDescent="0.25">
      <c r="A992" s="1"/>
      <c r="B992" s="10"/>
      <c r="C992" s="42"/>
      <c r="D992" s="43"/>
      <c r="E992" s="10"/>
      <c r="F992" s="42"/>
      <c r="G992" s="43"/>
      <c r="H992" s="10"/>
      <c r="I992" s="10"/>
      <c r="J992" s="42"/>
      <c r="K992" s="43"/>
      <c r="L992" s="43"/>
      <c r="M992" s="10"/>
      <c r="N992" s="10"/>
      <c r="O992" s="10"/>
      <c r="P992" s="10"/>
    </row>
    <row r="993" spans="1:16" x14ac:dyDescent="0.25">
      <c r="A993" s="1"/>
      <c r="B993" s="10"/>
      <c r="C993" s="42"/>
      <c r="D993" s="43"/>
      <c r="E993" s="10"/>
      <c r="F993" s="42"/>
      <c r="G993" s="43"/>
      <c r="H993" s="10"/>
      <c r="I993" s="10"/>
      <c r="J993" s="42"/>
      <c r="K993" s="43"/>
      <c r="L993" s="43"/>
      <c r="M993" s="10"/>
      <c r="N993" s="10"/>
      <c r="O993" s="10"/>
      <c r="P993" s="10"/>
    </row>
    <row r="994" spans="1:16" x14ac:dyDescent="0.25">
      <c r="A994" s="1"/>
      <c r="B994" s="10"/>
      <c r="C994" s="42"/>
      <c r="D994" s="43"/>
      <c r="E994" s="10"/>
      <c r="F994" s="42"/>
      <c r="G994" s="43"/>
      <c r="H994" s="10"/>
      <c r="I994" s="10"/>
      <c r="J994" s="42"/>
      <c r="K994" s="43"/>
      <c r="L994" s="43"/>
      <c r="M994" s="10"/>
      <c r="N994" s="10"/>
      <c r="O994" s="10"/>
      <c r="P994" s="10"/>
    </row>
    <row r="995" spans="1:16" x14ac:dyDescent="0.25">
      <c r="A995" s="1"/>
      <c r="B995" s="10"/>
      <c r="C995" s="42"/>
      <c r="D995" s="43"/>
      <c r="E995" s="10"/>
      <c r="F995" s="42"/>
      <c r="G995" s="43"/>
      <c r="H995" s="10"/>
      <c r="I995" s="10"/>
      <c r="J995" s="42"/>
      <c r="K995" s="43"/>
      <c r="L995" s="43"/>
      <c r="M995" s="10"/>
      <c r="N995" s="10"/>
      <c r="O995" s="10"/>
      <c r="P995" s="10"/>
    </row>
    <row r="996" spans="1:16" x14ac:dyDescent="0.25">
      <c r="A996" s="1"/>
      <c r="B996" s="10"/>
      <c r="C996" s="42"/>
      <c r="D996" s="43"/>
      <c r="E996" s="10"/>
      <c r="F996" s="42"/>
      <c r="G996" s="43"/>
      <c r="H996" s="10"/>
      <c r="I996" s="10"/>
      <c r="J996" s="42"/>
      <c r="K996" s="43"/>
      <c r="L996" s="43"/>
      <c r="M996" s="10"/>
      <c r="N996" s="10"/>
      <c r="O996" s="10"/>
      <c r="P996" s="10"/>
    </row>
    <row r="997" spans="1:16" x14ac:dyDescent="0.25">
      <c r="A997" s="1"/>
      <c r="B997" s="10"/>
      <c r="C997" s="42"/>
      <c r="D997" s="43"/>
      <c r="E997" s="10"/>
      <c r="F997" s="42"/>
      <c r="G997" s="43"/>
      <c r="H997" s="10"/>
      <c r="I997" s="10"/>
      <c r="J997" s="42"/>
      <c r="K997" s="43"/>
      <c r="L997" s="43"/>
      <c r="M997" s="10"/>
      <c r="N997" s="10"/>
      <c r="O997" s="10"/>
      <c r="P997" s="10"/>
    </row>
    <row r="998" spans="1:16" x14ac:dyDescent="0.25">
      <c r="A998" s="1"/>
      <c r="B998" s="10"/>
      <c r="C998" s="42"/>
      <c r="D998" s="43"/>
      <c r="E998" s="10"/>
      <c r="F998" s="42"/>
      <c r="G998" s="43"/>
      <c r="H998" s="10"/>
      <c r="I998" s="10"/>
      <c r="J998" s="42"/>
      <c r="K998" s="43"/>
      <c r="L998" s="43"/>
      <c r="M998" s="10"/>
      <c r="N998" s="10"/>
      <c r="O998" s="10"/>
      <c r="P998" s="10"/>
    </row>
    <row r="999" spans="1:16" x14ac:dyDescent="0.25">
      <c r="A999" s="1"/>
      <c r="B999" s="10"/>
      <c r="C999" s="42"/>
      <c r="D999" s="43"/>
      <c r="E999" s="10"/>
      <c r="F999" s="42"/>
      <c r="G999" s="43"/>
      <c r="H999" s="10"/>
      <c r="I999" s="10"/>
      <c r="J999" s="42"/>
      <c r="K999" s="43"/>
      <c r="L999" s="43"/>
      <c r="M999" s="10"/>
      <c r="N999" s="10"/>
      <c r="O999" s="10"/>
      <c r="P999" s="10"/>
    </row>
    <row r="1000" spans="1:16" x14ac:dyDescent="0.25">
      <c r="A1000" s="1"/>
      <c r="B1000" s="10"/>
      <c r="C1000" s="42"/>
      <c r="D1000" s="43"/>
      <c r="E1000" s="10"/>
      <c r="F1000" s="42"/>
      <c r="G1000" s="43"/>
      <c r="H1000" s="10"/>
      <c r="I1000" s="10"/>
      <c r="J1000" s="42"/>
      <c r="K1000" s="43"/>
      <c r="L1000" s="43"/>
      <c r="M1000" s="10"/>
      <c r="N1000" s="10"/>
      <c r="O1000" s="10"/>
      <c r="P1000" s="10"/>
    </row>
    <row r="1001" spans="1:16" x14ac:dyDescent="0.25">
      <c r="A1001" s="1"/>
      <c r="B1001" s="10"/>
      <c r="C1001" s="42"/>
      <c r="D1001" s="43"/>
      <c r="E1001" s="10"/>
      <c r="F1001" s="42"/>
      <c r="G1001" s="43"/>
      <c r="H1001" s="10"/>
      <c r="I1001" s="10"/>
      <c r="J1001" s="42"/>
      <c r="K1001" s="43"/>
      <c r="L1001" s="43"/>
      <c r="M1001" s="10"/>
      <c r="N1001" s="10"/>
      <c r="O1001" s="10"/>
      <c r="P1001" s="10"/>
    </row>
    <row r="1002" spans="1:16" x14ac:dyDescent="0.25">
      <c r="A1002" s="1"/>
      <c r="B1002" s="10"/>
      <c r="C1002" s="42"/>
      <c r="D1002" s="43"/>
      <c r="E1002" s="10"/>
      <c r="F1002" s="42"/>
      <c r="G1002" s="43"/>
      <c r="H1002" s="10"/>
      <c r="I1002" s="10"/>
      <c r="J1002" s="42"/>
      <c r="K1002" s="43"/>
      <c r="L1002" s="43"/>
      <c r="M1002" s="10"/>
      <c r="N1002" s="10"/>
      <c r="O1002" s="10"/>
      <c r="P1002" s="10"/>
    </row>
    <row r="1003" spans="1:16" x14ac:dyDescent="0.25">
      <c r="A1003" s="1"/>
      <c r="B1003" s="10"/>
      <c r="C1003" s="42"/>
      <c r="D1003" s="43"/>
      <c r="E1003" s="10"/>
      <c r="F1003" s="42"/>
      <c r="G1003" s="43"/>
      <c r="H1003" s="10"/>
      <c r="I1003" s="10"/>
      <c r="J1003" s="42"/>
      <c r="K1003" s="43"/>
      <c r="L1003" s="43"/>
      <c r="M1003" s="10"/>
      <c r="N1003" s="10"/>
      <c r="O1003" s="10"/>
      <c r="P1003" s="10"/>
    </row>
    <row r="1004" spans="1:16" x14ac:dyDescent="0.25">
      <c r="A1004" s="1"/>
      <c r="B1004" s="10"/>
      <c r="C1004" s="42"/>
      <c r="D1004" s="43"/>
      <c r="E1004" s="10"/>
      <c r="F1004" s="42"/>
      <c r="G1004" s="43"/>
      <c r="H1004" s="10"/>
      <c r="I1004" s="10"/>
      <c r="J1004" s="42"/>
      <c r="K1004" s="43"/>
      <c r="L1004" s="43"/>
      <c r="M1004" s="10"/>
      <c r="N1004" s="10"/>
      <c r="O1004" s="10"/>
      <c r="P1004" s="10"/>
    </row>
    <row r="1005" spans="1:16" x14ac:dyDescent="0.25">
      <c r="A1005" s="1"/>
      <c r="B1005" s="10"/>
      <c r="C1005" s="42"/>
      <c r="D1005" s="43"/>
      <c r="E1005" s="10"/>
      <c r="F1005" s="42"/>
      <c r="G1005" s="43"/>
      <c r="H1005" s="10"/>
      <c r="I1005" s="10"/>
      <c r="J1005" s="42"/>
      <c r="K1005" s="43"/>
      <c r="L1005" s="43"/>
      <c r="M1005" s="10"/>
      <c r="N1005" s="10"/>
      <c r="O1005" s="10"/>
      <c r="P1005" s="10"/>
    </row>
    <row r="1006" spans="1:16" x14ac:dyDescent="0.25">
      <c r="A1006" s="1"/>
      <c r="B1006" s="10"/>
      <c r="C1006" s="42"/>
      <c r="D1006" s="43"/>
      <c r="E1006" s="10"/>
      <c r="F1006" s="42"/>
      <c r="G1006" s="43"/>
      <c r="H1006" s="10"/>
      <c r="I1006" s="10"/>
      <c r="J1006" s="42"/>
      <c r="K1006" s="43"/>
      <c r="L1006" s="43"/>
      <c r="M1006" s="10"/>
      <c r="N1006" s="10"/>
      <c r="O1006" s="10"/>
      <c r="P1006" s="10"/>
    </row>
    <row r="1007" spans="1:16" x14ac:dyDescent="0.25">
      <c r="A1007" s="1"/>
      <c r="B1007" s="10"/>
      <c r="C1007" s="42"/>
      <c r="D1007" s="43"/>
      <c r="E1007" s="10"/>
      <c r="F1007" s="42"/>
      <c r="G1007" s="43"/>
      <c r="H1007" s="10"/>
      <c r="I1007" s="10"/>
      <c r="J1007" s="42"/>
      <c r="K1007" s="43"/>
      <c r="L1007" s="43"/>
      <c r="M1007" s="10"/>
      <c r="N1007" s="10"/>
      <c r="O1007" s="10"/>
      <c r="P1007" s="10"/>
    </row>
    <row r="1008" spans="1:16" x14ac:dyDescent="0.25">
      <c r="A1008" s="1"/>
      <c r="B1008" s="10"/>
      <c r="C1008" s="42"/>
      <c r="D1008" s="43"/>
      <c r="E1008" s="10"/>
      <c r="F1008" s="42"/>
      <c r="G1008" s="43"/>
      <c r="H1008" s="10"/>
      <c r="I1008" s="10"/>
      <c r="J1008" s="42"/>
      <c r="K1008" s="43"/>
      <c r="L1008" s="43"/>
      <c r="M1008" s="10"/>
      <c r="N1008" s="10"/>
      <c r="O1008" s="10"/>
      <c r="P1008" s="10"/>
    </row>
    <row r="1009" spans="1:16" x14ac:dyDescent="0.25">
      <c r="A1009" s="1"/>
      <c r="B1009" s="10"/>
      <c r="C1009" s="42"/>
      <c r="D1009" s="43"/>
      <c r="E1009" s="10"/>
      <c r="F1009" s="42"/>
      <c r="G1009" s="43"/>
      <c r="H1009" s="10"/>
      <c r="I1009" s="10"/>
      <c r="J1009" s="42"/>
      <c r="K1009" s="43"/>
      <c r="L1009" s="43"/>
      <c r="M1009" s="10"/>
      <c r="N1009" s="10"/>
      <c r="O1009" s="10"/>
      <c r="P1009" s="10"/>
    </row>
    <row r="1010" spans="1:16" x14ac:dyDescent="0.25">
      <c r="A1010" s="1"/>
      <c r="B1010" s="10"/>
      <c r="C1010" s="42"/>
      <c r="D1010" s="43"/>
      <c r="E1010" s="10"/>
      <c r="F1010" s="42"/>
      <c r="G1010" s="43"/>
      <c r="H1010" s="10"/>
      <c r="I1010" s="10"/>
      <c r="J1010" s="42"/>
      <c r="K1010" s="43"/>
      <c r="L1010" s="43"/>
      <c r="M1010" s="10"/>
      <c r="N1010" s="10"/>
      <c r="O1010" s="10"/>
      <c r="P1010" s="10"/>
    </row>
    <row r="1011" spans="1:16" x14ac:dyDescent="0.25">
      <c r="A1011" s="1"/>
      <c r="B1011" s="10"/>
      <c r="C1011" s="42"/>
      <c r="D1011" s="43"/>
      <c r="E1011" s="10"/>
      <c r="F1011" s="42"/>
      <c r="G1011" s="43"/>
      <c r="H1011" s="10"/>
      <c r="I1011" s="10"/>
      <c r="J1011" s="42"/>
      <c r="K1011" s="43"/>
      <c r="L1011" s="43"/>
      <c r="M1011" s="10"/>
      <c r="N1011" s="10"/>
      <c r="O1011" s="10"/>
      <c r="P1011" s="10"/>
    </row>
    <row r="1012" spans="1:16" x14ac:dyDescent="0.25">
      <c r="A1012" s="1"/>
      <c r="B1012" s="10"/>
      <c r="C1012" s="42"/>
      <c r="D1012" s="43"/>
      <c r="E1012" s="10"/>
      <c r="F1012" s="42"/>
      <c r="G1012" s="43"/>
      <c r="H1012" s="10"/>
      <c r="I1012" s="10"/>
      <c r="J1012" s="42"/>
      <c r="K1012" s="43"/>
      <c r="L1012" s="43"/>
      <c r="M1012" s="10"/>
      <c r="N1012" s="10"/>
      <c r="O1012" s="10"/>
      <c r="P1012" s="10"/>
    </row>
    <row r="1013" spans="1:16" x14ac:dyDescent="0.25">
      <c r="A1013" s="1"/>
      <c r="B1013" s="10"/>
      <c r="C1013" s="42"/>
      <c r="D1013" s="43"/>
      <c r="E1013" s="10"/>
      <c r="F1013" s="42"/>
      <c r="G1013" s="43"/>
      <c r="H1013" s="10"/>
      <c r="I1013" s="10"/>
      <c r="J1013" s="42"/>
      <c r="K1013" s="43"/>
      <c r="L1013" s="43"/>
      <c r="M1013" s="10"/>
      <c r="N1013" s="10"/>
      <c r="O1013" s="10"/>
      <c r="P1013" s="10"/>
    </row>
    <row r="1014" spans="1:16" x14ac:dyDescent="0.25">
      <c r="A1014" s="1"/>
      <c r="B1014" s="10"/>
      <c r="C1014" s="42"/>
      <c r="D1014" s="43"/>
      <c r="E1014" s="10"/>
      <c r="F1014" s="42"/>
      <c r="G1014" s="43"/>
      <c r="H1014" s="10"/>
      <c r="I1014" s="10"/>
      <c r="J1014" s="42"/>
      <c r="K1014" s="43"/>
      <c r="L1014" s="43"/>
      <c r="M1014" s="10"/>
      <c r="N1014" s="10"/>
      <c r="O1014" s="10"/>
      <c r="P1014" s="10"/>
    </row>
    <row r="1015" spans="1:16" x14ac:dyDescent="0.25">
      <c r="A1015" s="1"/>
      <c r="B1015" s="10"/>
      <c r="C1015" s="42"/>
      <c r="D1015" s="43"/>
      <c r="E1015" s="10"/>
      <c r="F1015" s="42"/>
      <c r="G1015" s="43"/>
      <c r="H1015" s="10"/>
      <c r="I1015" s="10"/>
      <c r="J1015" s="42"/>
      <c r="K1015" s="43"/>
      <c r="L1015" s="43"/>
      <c r="M1015" s="10"/>
      <c r="N1015" s="10"/>
      <c r="O1015" s="10"/>
      <c r="P1015" s="10"/>
    </row>
    <row r="1016" spans="1:16" x14ac:dyDescent="0.25">
      <c r="A1016" s="1"/>
      <c r="B1016" s="10"/>
      <c r="C1016" s="42"/>
      <c r="D1016" s="43"/>
      <c r="E1016" s="10"/>
      <c r="F1016" s="42"/>
      <c r="G1016" s="43"/>
      <c r="H1016" s="10"/>
      <c r="I1016" s="10"/>
      <c r="J1016" s="42"/>
      <c r="K1016" s="43"/>
      <c r="L1016" s="43"/>
      <c r="M1016" s="10"/>
      <c r="N1016" s="10"/>
      <c r="O1016" s="10"/>
      <c r="P1016" s="10"/>
    </row>
    <row r="1017" spans="1:16" x14ac:dyDescent="0.25">
      <c r="A1017" s="1"/>
      <c r="B1017" s="10"/>
      <c r="C1017" s="42"/>
      <c r="D1017" s="43"/>
      <c r="E1017" s="10"/>
      <c r="F1017" s="42"/>
      <c r="G1017" s="43"/>
      <c r="H1017" s="10"/>
      <c r="I1017" s="10"/>
      <c r="J1017" s="42"/>
      <c r="K1017" s="43"/>
      <c r="L1017" s="43"/>
      <c r="M1017" s="10"/>
      <c r="N1017" s="10"/>
      <c r="O1017" s="10"/>
      <c r="P1017" s="10"/>
    </row>
    <row r="1018" spans="1:16" x14ac:dyDescent="0.25">
      <c r="A1018" s="1"/>
      <c r="B1018" s="10"/>
      <c r="C1018" s="42"/>
      <c r="D1018" s="43"/>
      <c r="E1018" s="10"/>
      <c r="F1018" s="42"/>
      <c r="G1018" s="43"/>
      <c r="H1018" s="10"/>
      <c r="I1018" s="10"/>
      <c r="J1018" s="42"/>
      <c r="K1018" s="43"/>
      <c r="L1018" s="43"/>
      <c r="M1018" s="10"/>
      <c r="N1018" s="10"/>
      <c r="O1018" s="10"/>
      <c r="P1018" s="10"/>
    </row>
    <row r="1019" spans="1:16" x14ac:dyDescent="0.25">
      <c r="A1019" s="1"/>
      <c r="B1019" s="10"/>
      <c r="C1019" s="42"/>
      <c r="D1019" s="43"/>
      <c r="E1019" s="10"/>
      <c r="F1019" s="42"/>
      <c r="G1019" s="43"/>
      <c r="H1019" s="10"/>
      <c r="I1019" s="10"/>
      <c r="J1019" s="42"/>
      <c r="K1019" s="43"/>
      <c r="L1019" s="43"/>
      <c r="M1019" s="10"/>
      <c r="N1019" s="10"/>
      <c r="O1019" s="10"/>
      <c r="P1019" s="10"/>
    </row>
    <row r="1020" spans="1:16" x14ac:dyDescent="0.25">
      <c r="A1020" s="1"/>
      <c r="B1020" s="10"/>
      <c r="C1020" s="42"/>
      <c r="D1020" s="43"/>
      <c r="E1020" s="10"/>
      <c r="F1020" s="42"/>
      <c r="G1020" s="43"/>
      <c r="H1020" s="10"/>
      <c r="I1020" s="10"/>
      <c r="J1020" s="42"/>
      <c r="K1020" s="43"/>
      <c r="L1020" s="43"/>
      <c r="M1020" s="10"/>
      <c r="N1020" s="10"/>
      <c r="O1020" s="10"/>
      <c r="P1020" s="10"/>
    </row>
    <row r="1021" spans="1:16" x14ac:dyDescent="0.25">
      <c r="A1021" s="1"/>
      <c r="B1021" s="10"/>
      <c r="C1021" s="42"/>
      <c r="D1021" s="43"/>
      <c r="E1021" s="10"/>
      <c r="F1021" s="42"/>
      <c r="G1021" s="43"/>
      <c r="H1021" s="10"/>
      <c r="I1021" s="10"/>
      <c r="J1021" s="42"/>
      <c r="K1021" s="43"/>
      <c r="L1021" s="43"/>
      <c r="M1021" s="10"/>
      <c r="N1021" s="10"/>
      <c r="O1021" s="10"/>
      <c r="P1021" s="10"/>
    </row>
    <row r="1022" spans="1:16" x14ac:dyDescent="0.25">
      <c r="K1022" s="43"/>
    </row>
    <row r="1023" spans="1:16" x14ac:dyDescent="0.25">
      <c r="K1023" s="43"/>
    </row>
  </sheetData>
  <protectedRanges>
    <protectedRange sqref="A10:G1048576 A1:XFD5 Q6:XFD1048576 A9:F9 H9:P1048576 A6:P8" name="Intervalo1"/>
  </protectedRanges>
  <dataValidations count="5">
    <dataValidation type="decimal" allowBlank="1" showInputMessage="1" showErrorMessage="1" errorTitle="Número inválido!" error="Digite um número válido." sqref="K3:K7" xr:uid="{410D3A81-1678-4F72-BD6D-69891BFCF8DE}">
      <formula1>0</formula1>
      <formula2>9999999</formula2>
    </dataValidation>
    <dataValidation type="list" allowBlank="1" showInputMessage="1" showErrorMessage="1" errorTitle="Status inválido!" error="Selecione um status válido." sqref="F3:F7" xr:uid="{712C5414-84A6-4345-827F-54A2BF6AE069}">
      <formula1>"PENDENTE,CONCLUÍDO"</formula1>
    </dataValidation>
    <dataValidation type="date" allowBlank="1" showInputMessage="1" showErrorMessage="1" errorTitle="Data inválida!" error="Digite uma data válida." sqref="J3:J7" xr:uid="{A86E1227-6F7F-4B33-8EAF-B197E809B250}">
      <formula1>1</formula1>
      <formula2>73050</formula2>
    </dataValidation>
    <dataValidation type="list" allowBlank="1" showInputMessage="1" showErrorMessage="1" sqref="M3:M7" xr:uid="{4C330EFE-9CCE-4B13-8676-FC4CC73FBE63}">
      <formula1>"Excluir"</formula1>
    </dataValidation>
    <dataValidation allowBlank="1" showInputMessage="1" showErrorMessage="1" errorTitle="Brinco inválido!" error="Digite ou selecione um brinco válido." sqref="B3:B7" xr:uid="{E7FE2375-261D-4932-9D09-AB9F663A0C34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Classe incorreta" error="Selecione uma das classes de medicamentos corretas." xr:uid="{7B30B081-3190-4526-9E50-2D67ABB980D4}">
          <x14:formula1>
            <xm:f>Sanidade!$B$3:$B$1048576</xm:f>
          </x14:formula1>
          <xm:sqref>G3:G7</xm:sqref>
        </x14:dataValidation>
        <x14:dataValidation type="list" allowBlank="1" showInputMessage="1" showErrorMessage="1" xr:uid="{026A4FB7-D56A-42F6-9C07-95769305FC90}">
          <x14:formula1>
            <xm:f>'Propriedades Rurais'!$B$3:$B$1048576</xm:f>
          </x14:formula1>
          <xm:sqref>D3:D7</xm:sqref>
        </x14:dataValidation>
        <x14:dataValidation type="list" allowBlank="1" errorTitle="Brinco inválido!" error="Digite ou selecione um brinco válido." xr:uid="{11785578-5300-448E-9605-75CB9CB47E86}">
          <x14:formula1>
            <xm:f>Animal!$W$3:$W$1048576</xm:f>
          </x14:formula1>
          <xm:sqref>C9</xm:sqref>
        </x14:dataValidation>
        <x14:dataValidation type="list" allowBlank="1" showInputMessage="1" showErrorMessage="1" errorTitle="Brinco inválido!" error="Digite ou selecione um brinco válido." xr:uid="{A22D4EC6-E809-4F32-A636-4A6C484A22CF}">
          <x14:formula1>
            <xm:f>Animal!$W$3:$W$1048576</xm:f>
          </x14:formula1>
          <xm:sqref>C3:C7</xm:sqref>
        </x14:dataValidation>
        <x14:dataValidation type="list" allowBlank="1" showInputMessage="1" showErrorMessage="1" errorTitle="Medicamento incorreto!" error="Digie o medicamento ou selecione ele na lista." xr:uid="{9973288B-5E25-4300-816E-B2F732EE6F03}">
          <x14:formula1>
            <xm:f>Medicamentos!$B$3:$B$1048576</xm:f>
          </x14:formula1>
          <xm:sqref>H3:H7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53366-E6EB-42F4-8CDF-97611608DB42}">
  <sheetPr codeName="Planilha20">
    <tabColor rgb="FF00B050"/>
  </sheetPr>
  <dimension ref="A1:R10"/>
  <sheetViews>
    <sheetView workbookViewId="0">
      <pane ySplit="2" topLeftCell="A3" activePane="bottomLeft" state="frozen"/>
      <selection activeCell="N24" sqref="C24:N24"/>
      <selection pane="bottomLeft" activeCell="A3" sqref="A3"/>
    </sheetView>
  </sheetViews>
  <sheetFormatPr defaultColWidth="0" defaultRowHeight="15" x14ac:dyDescent="0.25"/>
  <cols>
    <col min="1" max="1" width="7.42578125" bestFit="1" customWidth="1"/>
    <col min="2" max="2" width="14.140625" bestFit="1" customWidth="1"/>
    <col min="3" max="3" width="11.140625" style="13" bestFit="1" customWidth="1"/>
    <col min="4" max="4" width="20.85546875" bestFit="1" customWidth="1"/>
    <col min="5" max="5" width="32.5703125" bestFit="1" customWidth="1"/>
    <col min="6" max="6" width="10.7109375" bestFit="1" customWidth="1"/>
    <col min="7" max="7" width="11.5703125" bestFit="1" customWidth="1"/>
    <col min="8" max="8" width="13" bestFit="1" customWidth="1"/>
    <col min="9" max="9" width="13.42578125" bestFit="1" customWidth="1"/>
    <col min="10" max="10" width="14.42578125" bestFit="1" customWidth="1"/>
    <col min="11" max="11" width="9.85546875" bestFit="1" customWidth="1"/>
    <col min="12" max="12" width="12.7109375" hidden="1" customWidth="1"/>
    <col min="13" max="14" width="9.140625" hidden="1" customWidth="1"/>
    <col min="15" max="15" width="21.85546875" hidden="1" customWidth="1"/>
    <col min="16" max="16" width="22.85546875" hidden="1" customWidth="1"/>
    <col min="17" max="17" width="9.140625" hidden="1" customWidth="1"/>
    <col min="18" max="18" width="30.42578125" hidden="1" customWidth="1"/>
    <col min="19" max="16384" width="9.140625" hidden="1"/>
  </cols>
  <sheetData>
    <row r="1" spans="1:15" ht="26.25" x14ac:dyDescent="0.25">
      <c r="A1" s="29" t="s">
        <v>381</v>
      </c>
      <c r="B1" s="30"/>
      <c r="C1" s="31"/>
      <c r="D1" s="31"/>
      <c r="E1" s="31"/>
      <c r="F1" s="31"/>
      <c r="G1" s="31"/>
      <c r="H1" s="31"/>
      <c r="I1" s="31"/>
      <c r="J1" s="31"/>
      <c r="K1" s="32"/>
    </row>
    <row r="2" spans="1:15" s="1" customFormat="1" x14ac:dyDescent="0.25">
      <c r="A2" s="37" t="s">
        <v>1</v>
      </c>
      <c r="B2" s="9" t="s">
        <v>172</v>
      </c>
      <c r="C2" s="9" t="s">
        <v>170</v>
      </c>
      <c r="D2" s="25" t="s">
        <v>63</v>
      </c>
      <c r="E2" s="9" t="s">
        <v>174</v>
      </c>
      <c r="F2" s="38" t="s">
        <v>171</v>
      </c>
      <c r="G2" s="38" t="s">
        <v>7</v>
      </c>
      <c r="H2" s="38" t="s">
        <v>382</v>
      </c>
      <c r="I2" s="38" t="s">
        <v>383</v>
      </c>
      <c r="J2" s="38" t="s">
        <v>384</v>
      </c>
      <c r="K2" s="37" t="s">
        <v>2</v>
      </c>
      <c r="L2" s="26" t="s">
        <v>358</v>
      </c>
    </row>
    <row r="3" spans="1:15" x14ac:dyDescent="0.25">
      <c r="A3" s="1">
        <v>1</v>
      </c>
      <c r="B3" s="1">
        <v>1</v>
      </c>
      <c r="C3" s="13" t="s">
        <v>173</v>
      </c>
      <c r="D3" s="1" t="s">
        <v>65</v>
      </c>
      <c r="E3" s="1" t="s">
        <v>468</v>
      </c>
      <c r="F3" s="13">
        <v>45332</v>
      </c>
      <c r="G3" s="1" t="s">
        <v>438</v>
      </c>
      <c r="H3" s="13" t="s">
        <v>439</v>
      </c>
      <c r="I3" s="13">
        <v>45698</v>
      </c>
      <c r="J3" s="1">
        <v>5</v>
      </c>
      <c r="K3" s="13"/>
      <c r="L3" s="1">
        <f>IFERROR(VLOOKUP(Tabela18[[#This Row],[Sitio]],CHOOSE({1,2},'Propriedades Rurais'!$B$3:$B$100000,'Propriedades Rurais'!$A$3:$A$100000),2,0),"")</f>
        <v>1</v>
      </c>
    </row>
    <row r="4" spans="1:15" x14ac:dyDescent="0.25">
      <c r="A4" s="1"/>
      <c r="B4" s="1" t="str">
        <f>IFERROR(VLOOKUP(Tabela18[[#This Row],[Brinco]]&amp;" - "&amp;Tabela18[[#This Row],[Sitio]],Animal!$X:$AA,2,0),"")</f>
        <v/>
      </c>
      <c r="C4" s="13" t="s">
        <v>187</v>
      </c>
      <c r="D4" s="1"/>
      <c r="E4" s="1">
        <f>IFERROR(VLOOKUP(Tabela18[[#This Row],[Brinco]]&amp;" - "&amp;Tabela18[[#This Row],[Sitio]],Animal!$X:$AA,3,0),$AA$1)</f>
        <v>0</v>
      </c>
      <c r="F4" s="13"/>
      <c r="G4" s="1"/>
      <c r="H4" s="13"/>
      <c r="I4" s="1"/>
      <c r="J4" s="1"/>
      <c r="K4" s="28" t="s">
        <v>475</v>
      </c>
      <c r="L4" s="1">
        <f>IFERROR(VLOOKUP(Tabela18[[#This Row],[Sitio]],CHOOSE({1,2},'Propriedades Rurais'!$B$3:$B$100000,'Propriedades Rurais'!$A$3:$A$100000),2,0),"")</f>
        <v>0</v>
      </c>
    </row>
    <row r="10" spans="1:15" x14ac:dyDescent="0.25">
      <c r="N10" s="16"/>
      <c r="O10" s="16"/>
    </row>
  </sheetData>
  <conditionalFormatting sqref="K3:K4">
    <cfRule type="expression" dxfId="104" priority="1">
      <formula>AND(#REF!&lt;&gt;"",MOD(ROW(), 2)=1)</formula>
    </cfRule>
    <cfRule type="expression" dxfId="103" priority="2">
      <formula>#REF!&lt;&gt;""</formula>
    </cfRule>
  </conditionalFormatting>
  <dataValidations disablePrompts="1" count="3">
    <dataValidation type="list" allowBlank="1" sqref="K3:K4" xr:uid="{1E0AE59C-F7D3-4639-BC96-8902AB7E8EC3}">
      <formula1>"Excluir"</formula1>
    </dataValidation>
    <dataValidation type="list" allowBlank="1" showInputMessage="1" showErrorMessage="1" sqref="G3:G4" xr:uid="{D738CCE4-86FA-4593-879E-C0B4EE8F1292}">
      <formula1>"EM PROCESSO,CONCLUÍDO"</formula1>
    </dataValidation>
    <dataValidation type="list" allowBlank="1" showInputMessage="1" showErrorMessage="1" sqref="H3:H4" xr:uid="{2094EACB-8CBF-49ED-ABA2-BA0A691F6A63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55C9957-C976-4F24-B3ED-DE084FA69C5E}">
          <x14:formula1>
            <xm:f>'Propriedades Rurais'!$B$3:$B$1048576</xm:f>
          </x14:formula1>
          <xm:sqref>D3:D4</xm:sqref>
        </x14:dataValidation>
        <x14:dataValidation type="list" allowBlank="1" showInputMessage="1" showErrorMessage="1" xr:uid="{DC4C90A5-4A19-47BB-81C5-0F8A86726C6D}">
          <x14:formula1>
            <xm:f>Animal!$W$3:$W$1048576</xm:f>
          </x14:formula1>
          <xm:sqref>C3:C4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4">
    <tabColor rgb="FF00B050"/>
  </sheetPr>
  <dimension ref="A1:Z412"/>
  <sheetViews>
    <sheetView workbookViewId="0">
      <pane ySplit="2" topLeftCell="A3" activePane="bottomLeft" state="frozen"/>
      <selection activeCell="N24" sqref="C24:N24"/>
      <selection pane="bottomLeft" activeCell="A3" sqref="A3"/>
    </sheetView>
  </sheetViews>
  <sheetFormatPr defaultColWidth="9.140625" defaultRowHeight="15" x14ac:dyDescent="0.25"/>
  <cols>
    <col min="1" max="1" width="7.42578125" style="1" bestFit="1" customWidth="1"/>
    <col min="2" max="2" width="14.140625" style="1" bestFit="1" customWidth="1"/>
    <col min="3" max="3" width="11.140625" style="1" bestFit="1" customWidth="1"/>
    <col min="4" max="4" width="20.85546875" style="1" bestFit="1" customWidth="1"/>
    <col min="5" max="5" width="30.42578125" style="1" bestFit="1" customWidth="1"/>
    <col min="6" max="6" width="10.7109375" bestFit="1" customWidth="1"/>
    <col min="7" max="8" width="9.85546875" bestFit="1" customWidth="1"/>
    <col min="9" max="35" width="9.140625" customWidth="1"/>
    <col min="36" max="36" width="20.85546875" customWidth="1"/>
    <col min="37" max="37" width="10" customWidth="1"/>
    <col min="38" max="38" width="11.28515625" customWidth="1"/>
    <col min="16383" max="16384" width="8.28515625" customWidth="1"/>
  </cols>
  <sheetData>
    <row r="1" spans="1:26" ht="26.25" x14ac:dyDescent="0.25">
      <c r="A1" s="56" t="s">
        <v>169</v>
      </c>
      <c r="B1" s="57"/>
      <c r="C1" s="57"/>
      <c r="D1" s="57"/>
      <c r="E1" s="57"/>
      <c r="F1" s="57"/>
      <c r="G1" s="57"/>
      <c r="H1" s="57"/>
      <c r="Z1" s="27" t="s">
        <v>359</v>
      </c>
    </row>
    <row r="2" spans="1:26" s="1" customFormat="1" x14ac:dyDescent="0.25">
      <c r="A2" s="8" t="s">
        <v>1</v>
      </c>
      <c r="B2" s="9" t="s">
        <v>172</v>
      </c>
      <c r="C2" s="9" t="s">
        <v>170</v>
      </c>
      <c r="D2" s="25" t="s">
        <v>63</v>
      </c>
      <c r="E2" s="9" t="s">
        <v>174</v>
      </c>
      <c r="F2" s="9" t="s">
        <v>171</v>
      </c>
      <c r="G2" s="9" t="s">
        <v>37</v>
      </c>
      <c r="H2" s="8" t="s">
        <v>2</v>
      </c>
      <c r="I2" s="26" t="s">
        <v>358</v>
      </c>
    </row>
    <row r="3" spans="1:26" x14ac:dyDescent="0.25">
      <c r="A3" s="1">
        <v>14</v>
      </c>
      <c r="B3" s="1">
        <v>1</v>
      </c>
      <c r="C3" s="1" t="s">
        <v>173</v>
      </c>
      <c r="D3" s="47" t="s">
        <v>65</v>
      </c>
      <c r="E3" s="47" t="s">
        <v>360</v>
      </c>
      <c r="F3" s="7">
        <v>45321</v>
      </c>
      <c r="G3" s="6">
        <v>500</v>
      </c>
    </row>
    <row r="4" spans="1:26" x14ac:dyDescent="0.25">
      <c r="C4" s="1" t="s">
        <v>173</v>
      </c>
      <c r="F4" s="50"/>
      <c r="G4" s="6"/>
    </row>
    <row r="5" spans="1:26" x14ac:dyDescent="0.25">
      <c r="F5" s="7"/>
      <c r="G5" s="6"/>
    </row>
    <row r="6" spans="1:26" x14ac:dyDescent="0.25">
      <c r="D6"/>
      <c r="E6"/>
      <c r="F6" s="7"/>
      <c r="G6" s="6"/>
    </row>
    <row r="7" spans="1:26" x14ac:dyDescent="0.25">
      <c r="F7" s="7"/>
      <c r="G7" s="6"/>
    </row>
    <row r="8" spans="1:26" x14ac:dyDescent="0.25">
      <c r="F8" s="7"/>
      <c r="G8" s="6"/>
    </row>
    <row r="9" spans="1:26" x14ac:dyDescent="0.25">
      <c r="F9" s="7"/>
      <c r="G9" s="6"/>
    </row>
    <row r="10" spans="1:26" x14ac:dyDescent="0.25">
      <c r="F10" s="7"/>
      <c r="G10" s="6"/>
    </row>
    <row r="11" spans="1:26" x14ac:dyDescent="0.25">
      <c r="F11" s="7"/>
      <c r="G11" s="6"/>
    </row>
    <row r="12" spans="1:26" x14ac:dyDescent="0.25">
      <c r="F12" s="7"/>
      <c r="G12" s="6"/>
    </row>
    <row r="13" spans="1:26" x14ac:dyDescent="0.25">
      <c r="F13" s="7"/>
      <c r="G13" s="6"/>
    </row>
    <row r="14" spans="1:26" x14ac:dyDescent="0.25">
      <c r="F14" s="7"/>
      <c r="G14" s="6"/>
    </row>
    <row r="15" spans="1:26" x14ac:dyDescent="0.25">
      <c r="F15" s="7"/>
      <c r="G15" s="6"/>
    </row>
    <row r="16" spans="1:26" x14ac:dyDescent="0.25">
      <c r="F16" s="7"/>
      <c r="G16" s="6"/>
    </row>
    <row r="17" spans="6:7" x14ac:dyDescent="0.25">
      <c r="F17" s="7"/>
      <c r="G17" s="6"/>
    </row>
    <row r="18" spans="6:7" x14ac:dyDescent="0.25">
      <c r="F18" s="7"/>
      <c r="G18" s="6"/>
    </row>
    <row r="19" spans="6:7" x14ac:dyDescent="0.25">
      <c r="F19" s="7"/>
      <c r="G19" s="6"/>
    </row>
    <row r="20" spans="6:7" x14ac:dyDescent="0.25">
      <c r="F20" s="7"/>
      <c r="G20" s="6"/>
    </row>
    <row r="21" spans="6:7" x14ac:dyDescent="0.25">
      <c r="F21" s="7"/>
      <c r="G21" s="6"/>
    </row>
    <row r="22" spans="6:7" x14ac:dyDescent="0.25">
      <c r="F22" s="7"/>
      <c r="G22" s="6"/>
    </row>
    <row r="23" spans="6:7" x14ac:dyDescent="0.25">
      <c r="F23" s="7"/>
      <c r="G23" s="6"/>
    </row>
    <row r="24" spans="6:7" x14ac:dyDescent="0.25">
      <c r="F24" s="7"/>
      <c r="G24" s="6"/>
    </row>
    <row r="25" spans="6:7" x14ac:dyDescent="0.25">
      <c r="F25" s="7"/>
      <c r="G25" s="6"/>
    </row>
    <row r="26" spans="6:7" x14ac:dyDescent="0.25">
      <c r="F26" s="7"/>
      <c r="G26" s="6"/>
    </row>
    <row r="27" spans="6:7" x14ac:dyDescent="0.25">
      <c r="F27" s="7"/>
      <c r="G27" s="6"/>
    </row>
    <row r="28" spans="6:7" x14ac:dyDescent="0.25">
      <c r="F28" s="7"/>
      <c r="G28" s="6"/>
    </row>
    <row r="29" spans="6:7" x14ac:dyDescent="0.25">
      <c r="F29" s="7"/>
      <c r="G29" s="6"/>
    </row>
    <row r="30" spans="6:7" x14ac:dyDescent="0.25">
      <c r="F30" s="7"/>
      <c r="G30" s="6"/>
    </row>
    <row r="31" spans="6:7" x14ac:dyDescent="0.25">
      <c r="F31" s="7"/>
      <c r="G31" s="6"/>
    </row>
    <row r="32" spans="6:7" x14ac:dyDescent="0.25">
      <c r="F32" s="7"/>
      <c r="G32" s="6"/>
    </row>
    <row r="33" spans="6:7" x14ac:dyDescent="0.25">
      <c r="F33" s="7"/>
      <c r="G33" s="6"/>
    </row>
    <row r="34" spans="6:7" x14ac:dyDescent="0.25">
      <c r="F34" s="7"/>
      <c r="G34" s="6"/>
    </row>
    <row r="35" spans="6:7" x14ac:dyDescent="0.25">
      <c r="F35" s="7"/>
      <c r="G35" s="6"/>
    </row>
    <row r="36" spans="6:7" x14ac:dyDescent="0.25">
      <c r="F36" s="7"/>
      <c r="G36" s="6"/>
    </row>
    <row r="37" spans="6:7" x14ac:dyDescent="0.25">
      <c r="F37" s="7"/>
      <c r="G37" s="6"/>
    </row>
    <row r="38" spans="6:7" x14ac:dyDescent="0.25">
      <c r="F38" s="7"/>
      <c r="G38" s="6"/>
    </row>
    <row r="39" spans="6:7" x14ac:dyDescent="0.25">
      <c r="F39" s="7"/>
      <c r="G39" s="6"/>
    </row>
    <row r="40" spans="6:7" x14ac:dyDescent="0.25">
      <c r="F40" s="7"/>
      <c r="G40" s="6"/>
    </row>
    <row r="41" spans="6:7" x14ac:dyDescent="0.25">
      <c r="F41" s="7"/>
      <c r="G41" s="6"/>
    </row>
    <row r="42" spans="6:7" x14ac:dyDescent="0.25">
      <c r="F42" s="7"/>
      <c r="G42" s="6"/>
    </row>
    <row r="43" spans="6:7" x14ac:dyDescent="0.25">
      <c r="F43" s="7"/>
      <c r="G43" s="6"/>
    </row>
    <row r="44" spans="6:7" x14ac:dyDescent="0.25">
      <c r="F44" s="7"/>
      <c r="G44" s="6"/>
    </row>
    <row r="45" spans="6:7" x14ac:dyDescent="0.25">
      <c r="F45" s="7"/>
      <c r="G45" s="6"/>
    </row>
    <row r="46" spans="6:7" x14ac:dyDescent="0.25">
      <c r="F46" s="7"/>
      <c r="G46" s="6"/>
    </row>
    <row r="47" spans="6:7" x14ac:dyDescent="0.25">
      <c r="F47" s="7"/>
      <c r="G47" s="6"/>
    </row>
    <row r="48" spans="6:7" x14ac:dyDescent="0.25">
      <c r="F48" s="7"/>
      <c r="G48" s="6"/>
    </row>
    <row r="49" spans="6:7" x14ac:dyDescent="0.25">
      <c r="F49" s="7"/>
      <c r="G49" s="6"/>
    </row>
    <row r="50" spans="6:7" x14ac:dyDescent="0.25">
      <c r="F50" s="7"/>
      <c r="G50" s="6"/>
    </row>
    <row r="51" spans="6:7" x14ac:dyDescent="0.25">
      <c r="F51" s="7"/>
      <c r="G51" s="6"/>
    </row>
    <row r="52" spans="6:7" x14ac:dyDescent="0.25">
      <c r="F52" s="7"/>
      <c r="G52" s="6"/>
    </row>
    <row r="53" spans="6:7" x14ac:dyDescent="0.25">
      <c r="F53" s="7"/>
      <c r="G53" s="6"/>
    </row>
    <row r="54" spans="6:7" x14ac:dyDescent="0.25">
      <c r="F54" s="7"/>
      <c r="G54" s="6"/>
    </row>
    <row r="55" spans="6:7" x14ac:dyDescent="0.25">
      <c r="F55" s="7"/>
      <c r="G55" s="6"/>
    </row>
    <row r="56" spans="6:7" x14ac:dyDescent="0.25">
      <c r="F56" s="7"/>
      <c r="G56" s="6"/>
    </row>
    <row r="57" spans="6:7" x14ac:dyDescent="0.25">
      <c r="F57" s="7"/>
      <c r="G57" s="6"/>
    </row>
    <row r="58" spans="6:7" x14ac:dyDescent="0.25">
      <c r="F58" s="7"/>
      <c r="G58" s="6"/>
    </row>
    <row r="59" spans="6:7" x14ac:dyDescent="0.25">
      <c r="F59" s="7"/>
      <c r="G59" s="6"/>
    </row>
    <row r="60" spans="6:7" x14ac:dyDescent="0.25">
      <c r="F60" s="7"/>
      <c r="G60" s="6"/>
    </row>
    <row r="61" spans="6:7" x14ac:dyDescent="0.25">
      <c r="F61" s="7"/>
      <c r="G61" s="6"/>
    </row>
    <row r="62" spans="6:7" x14ac:dyDescent="0.25">
      <c r="F62" s="7"/>
      <c r="G62" s="6"/>
    </row>
    <row r="63" spans="6:7" x14ac:dyDescent="0.25">
      <c r="F63" s="7"/>
      <c r="G63" s="6"/>
    </row>
    <row r="64" spans="6:7" x14ac:dyDescent="0.25">
      <c r="F64" s="7"/>
      <c r="G64" s="6"/>
    </row>
    <row r="65" spans="6:7" x14ac:dyDescent="0.25">
      <c r="F65" s="7"/>
      <c r="G65" s="6"/>
    </row>
    <row r="66" spans="6:7" x14ac:dyDescent="0.25">
      <c r="F66" s="7"/>
      <c r="G66" s="6"/>
    </row>
    <row r="67" spans="6:7" x14ac:dyDescent="0.25">
      <c r="F67" s="7"/>
      <c r="G67" s="6"/>
    </row>
    <row r="68" spans="6:7" x14ac:dyDescent="0.25">
      <c r="F68" s="7"/>
      <c r="G68" s="6"/>
    </row>
    <row r="69" spans="6:7" x14ac:dyDescent="0.25">
      <c r="F69" s="7"/>
      <c r="G69" s="6"/>
    </row>
    <row r="70" spans="6:7" x14ac:dyDescent="0.25">
      <c r="F70" s="7"/>
      <c r="G70" s="6"/>
    </row>
    <row r="71" spans="6:7" x14ac:dyDescent="0.25">
      <c r="F71" s="7"/>
      <c r="G71" s="6"/>
    </row>
    <row r="72" spans="6:7" x14ac:dyDescent="0.25">
      <c r="F72" s="7"/>
      <c r="G72" s="6"/>
    </row>
    <row r="73" spans="6:7" x14ac:dyDescent="0.25">
      <c r="F73" s="7"/>
      <c r="G73" s="6"/>
    </row>
    <row r="74" spans="6:7" x14ac:dyDescent="0.25">
      <c r="F74" s="7"/>
      <c r="G74" s="6"/>
    </row>
    <row r="75" spans="6:7" x14ac:dyDescent="0.25">
      <c r="F75" s="7"/>
      <c r="G75" s="6"/>
    </row>
    <row r="76" spans="6:7" x14ac:dyDescent="0.25">
      <c r="F76" s="7"/>
      <c r="G76" s="6"/>
    </row>
    <row r="77" spans="6:7" x14ac:dyDescent="0.25">
      <c r="F77" s="7"/>
      <c r="G77" s="6"/>
    </row>
    <row r="78" spans="6:7" x14ac:dyDescent="0.25">
      <c r="F78" s="7"/>
      <c r="G78" s="6"/>
    </row>
    <row r="79" spans="6:7" x14ac:dyDescent="0.25">
      <c r="F79" s="7"/>
      <c r="G79" s="6"/>
    </row>
    <row r="80" spans="6:7" x14ac:dyDescent="0.25">
      <c r="F80" s="7"/>
      <c r="G80" s="6"/>
    </row>
    <row r="81" spans="6:7" x14ac:dyDescent="0.25">
      <c r="F81" s="7"/>
      <c r="G81" s="6"/>
    </row>
    <row r="82" spans="6:7" x14ac:dyDescent="0.25">
      <c r="F82" s="7"/>
      <c r="G82" s="6"/>
    </row>
    <row r="83" spans="6:7" x14ac:dyDescent="0.25">
      <c r="F83" s="7"/>
      <c r="G83" s="6"/>
    </row>
    <row r="84" spans="6:7" x14ac:dyDescent="0.25">
      <c r="F84" s="7"/>
      <c r="G84" s="6"/>
    </row>
    <row r="85" spans="6:7" x14ac:dyDescent="0.25">
      <c r="F85" s="7"/>
      <c r="G85" s="6"/>
    </row>
    <row r="86" spans="6:7" x14ac:dyDescent="0.25">
      <c r="F86" s="7"/>
      <c r="G86" s="6"/>
    </row>
    <row r="87" spans="6:7" x14ac:dyDescent="0.25">
      <c r="F87" s="7"/>
      <c r="G87" s="6"/>
    </row>
    <row r="88" spans="6:7" x14ac:dyDescent="0.25">
      <c r="F88" s="7"/>
      <c r="G88" s="6"/>
    </row>
    <row r="89" spans="6:7" x14ac:dyDescent="0.25">
      <c r="F89" s="7"/>
      <c r="G89" s="6"/>
    </row>
    <row r="90" spans="6:7" x14ac:dyDescent="0.25">
      <c r="F90" s="7"/>
      <c r="G90" s="6"/>
    </row>
    <row r="91" spans="6:7" x14ac:dyDescent="0.25">
      <c r="F91" s="7"/>
      <c r="G91" s="6"/>
    </row>
    <row r="92" spans="6:7" x14ac:dyDescent="0.25">
      <c r="F92" s="7"/>
      <c r="G92" s="6"/>
    </row>
    <row r="93" spans="6:7" x14ac:dyDescent="0.25">
      <c r="F93" s="7"/>
      <c r="G93" s="6"/>
    </row>
    <row r="94" spans="6:7" x14ac:dyDescent="0.25">
      <c r="F94" s="7"/>
      <c r="G94" s="6"/>
    </row>
    <row r="95" spans="6:7" x14ac:dyDescent="0.25">
      <c r="F95" s="7"/>
      <c r="G95" s="6"/>
    </row>
    <row r="96" spans="6:7" x14ac:dyDescent="0.25">
      <c r="F96" s="7"/>
      <c r="G96" s="6"/>
    </row>
    <row r="97" spans="6:7" x14ac:dyDescent="0.25">
      <c r="F97" s="7"/>
      <c r="G97" s="6"/>
    </row>
    <row r="98" spans="6:7" x14ac:dyDescent="0.25">
      <c r="F98" s="7"/>
      <c r="G98" s="6"/>
    </row>
    <row r="99" spans="6:7" x14ac:dyDescent="0.25">
      <c r="F99" s="7"/>
      <c r="G99" s="6"/>
    </row>
    <row r="100" spans="6:7" x14ac:dyDescent="0.25">
      <c r="F100" s="7"/>
      <c r="G100" s="6"/>
    </row>
    <row r="101" spans="6:7" x14ac:dyDescent="0.25">
      <c r="F101" s="7"/>
      <c r="G101" s="6"/>
    </row>
    <row r="102" spans="6:7" x14ac:dyDescent="0.25">
      <c r="F102" s="7"/>
      <c r="G102" s="6"/>
    </row>
    <row r="103" spans="6:7" x14ac:dyDescent="0.25">
      <c r="F103" s="7"/>
      <c r="G103" s="6"/>
    </row>
    <row r="104" spans="6:7" x14ac:dyDescent="0.25">
      <c r="F104" s="7"/>
      <c r="G104" s="6"/>
    </row>
    <row r="105" spans="6:7" x14ac:dyDescent="0.25">
      <c r="F105" s="7"/>
      <c r="G105" s="6"/>
    </row>
    <row r="106" spans="6:7" x14ac:dyDescent="0.25">
      <c r="F106" s="7"/>
      <c r="G106" s="6"/>
    </row>
    <row r="107" spans="6:7" x14ac:dyDescent="0.25">
      <c r="F107" s="7"/>
      <c r="G107" s="6"/>
    </row>
    <row r="108" spans="6:7" x14ac:dyDescent="0.25">
      <c r="F108" s="7"/>
      <c r="G108" s="6"/>
    </row>
    <row r="109" spans="6:7" x14ac:dyDescent="0.25">
      <c r="F109" s="7"/>
      <c r="G109" s="6"/>
    </row>
    <row r="110" spans="6:7" x14ac:dyDescent="0.25">
      <c r="F110" s="7"/>
      <c r="G110" s="6"/>
    </row>
    <row r="111" spans="6:7" x14ac:dyDescent="0.25">
      <c r="F111" s="7"/>
      <c r="G111" s="6"/>
    </row>
    <row r="112" spans="6:7" x14ac:dyDescent="0.25">
      <c r="F112" s="7"/>
      <c r="G112" s="6"/>
    </row>
    <row r="113" spans="6:7" x14ac:dyDescent="0.25">
      <c r="F113" s="7"/>
      <c r="G113" s="6"/>
    </row>
    <row r="114" spans="6:7" x14ac:dyDescent="0.25">
      <c r="F114" s="7"/>
      <c r="G114" s="6"/>
    </row>
    <row r="115" spans="6:7" x14ac:dyDescent="0.25">
      <c r="F115" s="7"/>
      <c r="G115" s="6"/>
    </row>
    <row r="116" spans="6:7" x14ac:dyDescent="0.25">
      <c r="F116" s="7"/>
      <c r="G116" s="6"/>
    </row>
    <row r="117" spans="6:7" x14ac:dyDescent="0.25">
      <c r="F117" s="7"/>
      <c r="G117" s="6"/>
    </row>
    <row r="118" spans="6:7" x14ac:dyDescent="0.25">
      <c r="F118" s="7"/>
      <c r="G118" s="6"/>
    </row>
    <row r="119" spans="6:7" x14ac:dyDescent="0.25">
      <c r="F119" s="7"/>
      <c r="G119" s="6"/>
    </row>
    <row r="120" spans="6:7" x14ac:dyDescent="0.25">
      <c r="F120" s="7"/>
      <c r="G120" s="6"/>
    </row>
    <row r="121" spans="6:7" x14ac:dyDescent="0.25">
      <c r="F121" s="7"/>
      <c r="G121" s="6"/>
    </row>
    <row r="122" spans="6:7" x14ac:dyDescent="0.25">
      <c r="F122" s="7"/>
      <c r="G122" s="6"/>
    </row>
    <row r="123" spans="6:7" x14ac:dyDescent="0.25">
      <c r="F123" s="7"/>
      <c r="G123" s="6"/>
    </row>
    <row r="124" spans="6:7" x14ac:dyDescent="0.25">
      <c r="F124" s="7"/>
      <c r="G124" s="6"/>
    </row>
    <row r="125" spans="6:7" x14ac:dyDescent="0.25">
      <c r="F125" s="7"/>
      <c r="G125" s="6"/>
    </row>
    <row r="126" spans="6:7" x14ac:dyDescent="0.25">
      <c r="F126" s="7"/>
      <c r="G126" s="6"/>
    </row>
    <row r="127" spans="6:7" x14ac:dyDescent="0.25">
      <c r="F127" s="7"/>
      <c r="G127" s="6"/>
    </row>
    <row r="128" spans="6:7" x14ac:dyDescent="0.25">
      <c r="F128" s="7"/>
      <c r="G128" s="6"/>
    </row>
    <row r="129" spans="6:7" x14ac:dyDescent="0.25">
      <c r="F129" s="7"/>
      <c r="G129" s="6"/>
    </row>
    <row r="130" spans="6:7" x14ac:dyDescent="0.25">
      <c r="F130" s="7"/>
      <c r="G130" s="6"/>
    </row>
    <row r="131" spans="6:7" x14ac:dyDescent="0.25">
      <c r="F131" s="7"/>
      <c r="G131" s="6"/>
    </row>
    <row r="132" spans="6:7" x14ac:dyDescent="0.25">
      <c r="F132" s="7"/>
      <c r="G132" s="6"/>
    </row>
    <row r="133" spans="6:7" x14ac:dyDescent="0.25">
      <c r="F133" s="7"/>
      <c r="G133" s="6"/>
    </row>
    <row r="134" spans="6:7" x14ac:dyDescent="0.25">
      <c r="F134" s="7"/>
      <c r="G134" s="6"/>
    </row>
    <row r="135" spans="6:7" x14ac:dyDescent="0.25">
      <c r="F135" s="7"/>
      <c r="G135" s="6"/>
    </row>
    <row r="136" spans="6:7" x14ac:dyDescent="0.25">
      <c r="F136" s="7"/>
      <c r="G136" s="6"/>
    </row>
    <row r="137" spans="6:7" x14ac:dyDescent="0.25">
      <c r="F137" s="7"/>
      <c r="G137" s="6"/>
    </row>
    <row r="138" spans="6:7" x14ac:dyDescent="0.25">
      <c r="F138" s="7"/>
      <c r="G138" s="6"/>
    </row>
    <row r="139" spans="6:7" x14ac:dyDescent="0.25">
      <c r="F139" s="7"/>
      <c r="G139" s="6"/>
    </row>
    <row r="140" spans="6:7" x14ac:dyDescent="0.25">
      <c r="F140" s="7"/>
      <c r="G140" s="6"/>
    </row>
    <row r="141" spans="6:7" x14ac:dyDescent="0.25">
      <c r="F141" s="7"/>
      <c r="G141" s="6"/>
    </row>
    <row r="142" spans="6:7" x14ac:dyDescent="0.25">
      <c r="F142" s="7"/>
      <c r="G142" s="6"/>
    </row>
    <row r="143" spans="6:7" x14ac:dyDescent="0.25">
      <c r="F143" s="7"/>
      <c r="G143" s="6"/>
    </row>
    <row r="144" spans="6:7" x14ac:dyDescent="0.25">
      <c r="F144" s="7"/>
      <c r="G144" s="6"/>
    </row>
    <row r="145" spans="6:7" x14ac:dyDescent="0.25">
      <c r="F145" s="7"/>
      <c r="G145" s="6"/>
    </row>
    <row r="146" spans="6:7" x14ac:dyDescent="0.25">
      <c r="F146" s="7"/>
      <c r="G146" s="6"/>
    </row>
    <row r="147" spans="6:7" x14ac:dyDescent="0.25">
      <c r="F147" s="7"/>
      <c r="G147" s="6"/>
    </row>
    <row r="148" spans="6:7" x14ac:dyDescent="0.25">
      <c r="F148" s="7"/>
      <c r="G148" s="6"/>
    </row>
    <row r="149" spans="6:7" x14ac:dyDescent="0.25">
      <c r="F149" s="7"/>
      <c r="G149" s="6"/>
    </row>
    <row r="150" spans="6:7" x14ac:dyDescent="0.25">
      <c r="F150" s="7"/>
      <c r="G150" s="6"/>
    </row>
    <row r="151" spans="6:7" x14ac:dyDescent="0.25">
      <c r="F151" s="7"/>
      <c r="G151" s="6"/>
    </row>
    <row r="152" spans="6:7" x14ac:dyDescent="0.25">
      <c r="F152" s="7"/>
      <c r="G152" s="6"/>
    </row>
    <row r="153" spans="6:7" x14ac:dyDescent="0.25">
      <c r="F153" s="7"/>
      <c r="G153" s="6"/>
    </row>
    <row r="154" spans="6:7" x14ac:dyDescent="0.25">
      <c r="F154" s="7"/>
      <c r="G154" s="6"/>
    </row>
    <row r="155" spans="6:7" x14ac:dyDescent="0.25">
      <c r="F155" s="7"/>
      <c r="G155" s="6"/>
    </row>
    <row r="156" spans="6:7" x14ac:dyDescent="0.25">
      <c r="F156" s="7"/>
      <c r="G156" s="6"/>
    </row>
    <row r="157" spans="6:7" x14ac:dyDescent="0.25">
      <c r="F157" s="7"/>
      <c r="G157" s="6"/>
    </row>
    <row r="158" spans="6:7" x14ac:dyDescent="0.25">
      <c r="F158" s="7"/>
      <c r="G158" s="6"/>
    </row>
    <row r="159" spans="6:7" x14ac:dyDescent="0.25">
      <c r="F159" s="7"/>
      <c r="G159" s="6"/>
    </row>
    <row r="160" spans="6:7" x14ac:dyDescent="0.25">
      <c r="F160" s="7"/>
      <c r="G160" s="6"/>
    </row>
    <row r="161" spans="6:7" x14ac:dyDescent="0.25">
      <c r="F161" s="7"/>
      <c r="G161" s="6"/>
    </row>
    <row r="162" spans="6:7" x14ac:dyDescent="0.25">
      <c r="F162" s="7"/>
      <c r="G162" s="6"/>
    </row>
    <row r="163" spans="6:7" x14ac:dyDescent="0.25">
      <c r="F163" s="7"/>
      <c r="G163" s="6"/>
    </row>
    <row r="164" spans="6:7" x14ac:dyDescent="0.25">
      <c r="F164" s="7"/>
      <c r="G164" s="6"/>
    </row>
    <row r="165" spans="6:7" x14ac:dyDescent="0.25">
      <c r="F165" s="7"/>
      <c r="G165" s="6"/>
    </row>
    <row r="166" spans="6:7" x14ac:dyDescent="0.25">
      <c r="F166" s="7"/>
      <c r="G166" s="6"/>
    </row>
    <row r="167" spans="6:7" x14ac:dyDescent="0.25">
      <c r="F167" s="7"/>
      <c r="G167" s="6"/>
    </row>
    <row r="168" spans="6:7" x14ac:dyDescent="0.25">
      <c r="F168" s="7"/>
      <c r="G168" s="6"/>
    </row>
    <row r="169" spans="6:7" x14ac:dyDescent="0.25">
      <c r="F169" s="7"/>
      <c r="G169" s="6"/>
    </row>
    <row r="170" spans="6:7" x14ac:dyDescent="0.25">
      <c r="F170" s="7"/>
      <c r="G170" s="6"/>
    </row>
    <row r="171" spans="6:7" x14ac:dyDescent="0.25">
      <c r="F171" s="7"/>
      <c r="G171" s="6"/>
    </row>
    <row r="172" spans="6:7" x14ac:dyDescent="0.25">
      <c r="F172" s="7"/>
      <c r="G172" s="6"/>
    </row>
    <row r="173" spans="6:7" x14ac:dyDescent="0.25">
      <c r="F173" s="7"/>
      <c r="G173" s="6"/>
    </row>
    <row r="174" spans="6:7" x14ac:dyDescent="0.25">
      <c r="F174" s="7"/>
      <c r="G174" s="6"/>
    </row>
    <row r="175" spans="6:7" x14ac:dyDescent="0.25">
      <c r="F175" s="7"/>
      <c r="G175" s="6"/>
    </row>
    <row r="176" spans="6:7" x14ac:dyDescent="0.25">
      <c r="F176" s="7"/>
      <c r="G176" s="6"/>
    </row>
    <row r="177" spans="6:7" x14ac:dyDescent="0.25">
      <c r="F177" s="7"/>
      <c r="G177" s="6"/>
    </row>
    <row r="178" spans="6:7" x14ac:dyDescent="0.25">
      <c r="F178" s="7"/>
      <c r="G178" s="6"/>
    </row>
    <row r="179" spans="6:7" x14ac:dyDescent="0.25">
      <c r="F179" s="7"/>
      <c r="G179" s="6"/>
    </row>
    <row r="180" spans="6:7" x14ac:dyDescent="0.25">
      <c r="F180" s="7"/>
      <c r="G180" s="6"/>
    </row>
    <row r="181" spans="6:7" x14ac:dyDescent="0.25">
      <c r="F181" s="7"/>
      <c r="G181" s="6"/>
    </row>
    <row r="182" spans="6:7" x14ac:dyDescent="0.25">
      <c r="F182" s="7"/>
      <c r="G182" s="6"/>
    </row>
    <row r="183" spans="6:7" x14ac:dyDescent="0.25">
      <c r="F183" s="7"/>
      <c r="G183" s="6"/>
    </row>
    <row r="184" spans="6:7" x14ac:dyDescent="0.25">
      <c r="F184" s="7"/>
      <c r="G184" s="6"/>
    </row>
    <row r="185" spans="6:7" x14ac:dyDescent="0.25">
      <c r="F185" s="7"/>
      <c r="G185" s="6"/>
    </row>
    <row r="186" spans="6:7" x14ac:dyDescent="0.25">
      <c r="F186" s="7"/>
      <c r="G186" s="6"/>
    </row>
    <row r="187" spans="6:7" x14ac:dyDescent="0.25">
      <c r="F187" s="7"/>
      <c r="G187" s="6"/>
    </row>
    <row r="188" spans="6:7" x14ac:dyDescent="0.25">
      <c r="F188" s="7"/>
      <c r="G188" s="6"/>
    </row>
    <row r="189" spans="6:7" x14ac:dyDescent="0.25">
      <c r="F189" s="7"/>
      <c r="G189" s="6"/>
    </row>
    <row r="190" spans="6:7" x14ac:dyDescent="0.25">
      <c r="F190" s="7"/>
      <c r="G190" s="6"/>
    </row>
    <row r="191" spans="6:7" x14ac:dyDescent="0.25">
      <c r="F191" s="7"/>
      <c r="G191" s="6"/>
    </row>
    <row r="192" spans="6:7" x14ac:dyDescent="0.25">
      <c r="F192" s="7"/>
      <c r="G192" s="6"/>
    </row>
    <row r="193" spans="6:7" x14ac:dyDescent="0.25">
      <c r="F193" s="7"/>
      <c r="G193" s="6"/>
    </row>
    <row r="194" spans="6:7" x14ac:dyDescent="0.25">
      <c r="F194" s="7"/>
      <c r="G194" s="6"/>
    </row>
    <row r="195" spans="6:7" x14ac:dyDescent="0.25">
      <c r="F195" s="7"/>
      <c r="G195" s="6"/>
    </row>
    <row r="196" spans="6:7" x14ac:dyDescent="0.25">
      <c r="F196" s="7"/>
      <c r="G196" s="6"/>
    </row>
    <row r="197" spans="6:7" x14ac:dyDescent="0.25">
      <c r="F197" s="7"/>
      <c r="G197" s="6"/>
    </row>
    <row r="198" spans="6:7" x14ac:dyDescent="0.25">
      <c r="F198" s="7"/>
      <c r="G198" s="6"/>
    </row>
    <row r="199" spans="6:7" x14ac:dyDescent="0.25">
      <c r="F199" s="7"/>
      <c r="G199" s="6"/>
    </row>
    <row r="200" spans="6:7" x14ac:dyDescent="0.25">
      <c r="F200" s="7"/>
      <c r="G200" s="6"/>
    </row>
    <row r="201" spans="6:7" x14ac:dyDescent="0.25">
      <c r="F201" s="7"/>
      <c r="G201" s="6"/>
    </row>
    <row r="202" spans="6:7" x14ac:dyDescent="0.25">
      <c r="F202" s="7"/>
      <c r="G202" s="6"/>
    </row>
    <row r="203" spans="6:7" x14ac:dyDescent="0.25">
      <c r="F203" s="7"/>
      <c r="G203" s="6"/>
    </row>
    <row r="204" spans="6:7" x14ac:dyDescent="0.25">
      <c r="F204" s="7"/>
      <c r="G204" s="6"/>
    </row>
    <row r="205" spans="6:7" x14ac:dyDescent="0.25">
      <c r="F205" s="7"/>
      <c r="G205" s="6"/>
    </row>
    <row r="206" spans="6:7" x14ac:dyDescent="0.25">
      <c r="F206" s="7"/>
      <c r="G206" s="6"/>
    </row>
    <row r="207" spans="6:7" x14ac:dyDescent="0.25">
      <c r="F207" s="7"/>
      <c r="G207" s="6"/>
    </row>
    <row r="208" spans="6:7" x14ac:dyDescent="0.25">
      <c r="F208" s="7"/>
      <c r="G208" s="6"/>
    </row>
    <row r="209" spans="6:7" x14ac:dyDescent="0.25">
      <c r="F209" s="7"/>
      <c r="G209" s="6"/>
    </row>
    <row r="210" spans="6:7" x14ac:dyDescent="0.25">
      <c r="F210" s="7"/>
      <c r="G210" s="6"/>
    </row>
    <row r="211" spans="6:7" x14ac:dyDescent="0.25">
      <c r="F211" s="7"/>
      <c r="G211" s="6"/>
    </row>
    <row r="212" spans="6:7" x14ac:dyDescent="0.25">
      <c r="F212" s="7"/>
      <c r="G212" s="6"/>
    </row>
    <row r="213" spans="6:7" x14ac:dyDescent="0.25">
      <c r="F213" s="7"/>
      <c r="G213" s="6"/>
    </row>
    <row r="214" spans="6:7" x14ac:dyDescent="0.25">
      <c r="F214" s="7"/>
      <c r="G214" s="6"/>
    </row>
    <row r="215" spans="6:7" x14ac:dyDescent="0.25">
      <c r="F215" s="7"/>
      <c r="G215" s="6"/>
    </row>
    <row r="216" spans="6:7" x14ac:dyDescent="0.25">
      <c r="F216" s="7"/>
      <c r="G216" s="6"/>
    </row>
    <row r="217" spans="6:7" x14ac:dyDescent="0.25">
      <c r="F217" s="7"/>
      <c r="G217" s="6"/>
    </row>
    <row r="218" spans="6:7" x14ac:dyDescent="0.25">
      <c r="F218" s="7"/>
      <c r="G218" s="6"/>
    </row>
    <row r="219" spans="6:7" x14ac:dyDescent="0.25">
      <c r="F219" s="7"/>
      <c r="G219" s="6"/>
    </row>
    <row r="220" spans="6:7" x14ac:dyDescent="0.25">
      <c r="F220" s="7"/>
      <c r="G220" s="6"/>
    </row>
    <row r="221" spans="6:7" x14ac:dyDescent="0.25">
      <c r="F221" s="7"/>
      <c r="G221" s="6"/>
    </row>
    <row r="222" spans="6:7" x14ac:dyDescent="0.25">
      <c r="F222" s="7"/>
      <c r="G222" s="6"/>
    </row>
    <row r="223" spans="6:7" x14ac:dyDescent="0.25">
      <c r="F223" s="7"/>
      <c r="G223" s="6"/>
    </row>
    <row r="224" spans="6:7" x14ac:dyDescent="0.25">
      <c r="F224" s="7"/>
      <c r="G224" s="6"/>
    </row>
    <row r="225" spans="6:7" x14ac:dyDescent="0.25">
      <c r="F225" s="7"/>
      <c r="G225" s="6"/>
    </row>
    <row r="226" spans="6:7" x14ac:dyDescent="0.25">
      <c r="F226" s="7"/>
      <c r="G226" s="6"/>
    </row>
    <row r="227" spans="6:7" x14ac:dyDescent="0.25">
      <c r="F227" s="7"/>
      <c r="G227" s="6"/>
    </row>
    <row r="228" spans="6:7" x14ac:dyDescent="0.25">
      <c r="F228" s="7"/>
      <c r="G228" s="6"/>
    </row>
    <row r="229" spans="6:7" x14ac:dyDescent="0.25">
      <c r="F229" s="7"/>
      <c r="G229" s="6"/>
    </row>
    <row r="230" spans="6:7" x14ac:dyDescent="0.25">
      <c r="F230" s="7"/>
      <c r="G230" s="6"/>
    </row>
    <row r="231" spans="6:7" x14ac:dyDescent="0.25">
      <c r="F231" s="7"/>
      <c r="G231" s="6"/>
    </row>
    <row r="232" spans="6:7" x14ac:dyDescent="0.25">
      <c r="F232" s="7"/>
      <c r="G232" s="6"/>
    </row>
    <row r="233" spans="6:7" x14ac:dyDescent="0.25">
      <c r="F233" s="7"/>
      <c r="G233" s="6"/>
    </row>
    <row r="234" spans="6:7" x14ac:dyDescent="0.25">
      <c r="F234" s="7"/>
      <c r="G234" s="6"/>
    </row>
    <row r="235" spans="6:7" x14ac:dyDescent="0.25">
      <c r="F235" s="7"/>
      <c r="G235" s="6"/>
    </row>
    <row r="236" spans="6:7" x14ac:dyDescent="0.25">
      <c r="F236" s="7"/>
      <c r="G236" s="6"/>
    </row>
    <row r="237" spans="6:7" x14ac:dyDescent="0.25">
      <c r="F237" s="7"/>
      <c r="G237" s="6"/>
    </row>
    <row r="238" spans="6:7" x14ac:dyDescent="0.25">
      <c r="F238" s="7"/>
      <c r="G238" s="6"/>
    </row>
    <row r="239" spans="6:7" x14ac:dyDescent="0.25">
      <c r="F239" s="7"/>
      <c r="G239" s="6"/>
    </row>
    <row r="240" spans="6:7" x14ac:dyDescent="0.25">
      <c r="F240" s="7"/>
      <c r="G240" s="6"/>
    </row>
    <row r="241" spans="6:7" x14ac:dyDescent="0.25">
      <c r="F241" s="7"/>
      <c r="G241" s="6"/>
    </row>
    <row r="242" spans="6:7" x14ac:dyDescent="0.25">
      <c r="F242" s="7"/>
      <c r="G242" s="6"/>
    </row>
    <row r="243" spans="6:7" x14ac:dyDescent="0.25">
      <c r="F243" s="7"/>
      <c r="G243" s="6"/>
    </row>
    <row r="244" spans="6:7" x14ac:dyDescent="0.25">
      <c r="F244" s="7"/>
      <c r="G244" s="6"/>
    </row>
    <row r="245" spans="6:7" x14ac:dyDescent="0.25">
      <c r="F245" s="7"/>
      <c r="G245" s="6"/>
    </row>
    <row r="246" spans="6:7" x14ac:dyDescent="0.25">
      <c r="F246" s="7"/>
      <c r="G246" s="6"/>
    </row>
    <row r="247" spans="6:7" x14ac:dyDescent="0.25">
      <c r="F247" s="7"/>
      <c r="G247" s="6"/>
    </row>
    <row r="248" spans="6:7" x14ac:dyDescent="0.25">
      <c r="F248" s="7"/>
      <c r="G248" s="6"/>
    </row>
    <row r="249" spans="6:7" x14ac:dyDescent="0.25">
      <c r="F249" s="7"/>
      <c r="G249" s="6"/>
    </row>
    <row r="250" spans="6:7" x14ac:dyDescent="0.25">
      <c r="F250" s="7"/>
      <c r="G250" s="6"/>
    </row>
    <row r="251" spans="6:7" x14ac:dyDescent="0.25">
      <c r="F251" s="7"/>
      <c r="G251" s="6"/>
    </row>
    <row r="252" spans="6:7" x14ac:dyDescent="0.25">
      <c r="F252" s="7"/>
      <c r="G252" s="6"/>
    </row>
    <row r="253" spans="6:7" x14ac:dyDescent="0.25">
      <c r="F253" s="7"/>
      <c r="G253" s="6"/>
    </row>
    <row r="254" spans="6:7" x14ac:dyDescent="0.25">
      <c r="F254" s="7"/>
      <c r="G254" s="6"/>
    </row>
    <row r="255" spans="6:7" x14ac:dyDescent="0.25">
      <c r="F255" s="7"/>
      <c r="G255" s="6"/>
    </row>
    <row r="256" spans="6:7" x14ac:dyDescent="0.25">
      <c r="F256" s="7"/>
      <c r="G256" s="6"/>
    </row>
    <row r="257" spans="6:7" x14ac:dyDescent="0.25">
      <c r="F257" s="7"/>
      <c r="G257" s="6"/>
    </row>
    <row r="258" spans="6:7" x14ac:dyDescent="0.25">
      <c r="F258" s="7"/>
      <c r="G258" s="6"/>
    </row>
    <row r="259" spans="6:7" x14ac:dyDescent="0.25">
      <c r="F259" s="7"/>
      <c r="G259" s="6"/>
    </row>
    <row r="260" spans="6:7" x14ac:dyDescent="0.25">
      <c r="F260" s="7"/>
      <c r="G260" s="6"/>
    </row>
    <row r="261" spans="6:7" x14ac:dyDescent="0.25">
      <c r="F261" s="7"/>
      <c r="G261" s="6"/>
    </row>
    <row r="262" spans="6:7" x14ac:dyDescent="0.25">
      <c r="F262" s="7"/>
      <c r="G262" s="6"/>
    </row>
    <row r="263" spans="6:7" x14ac:dyDescent="0.25">
      <c r="F263" s="7"/>
      <c r="G263" s="6"/>
    </row>
    <row r="264" spans="6:7" x14ac:dyDescent="0.25">
      <c r="F264" s="7"/>
      <c r="G264" s="6"/>
    </row>
    <row r="265" spans="6:7" x14ac:dyDescent="0.25">
      <c r="F265" s="7"/>
      <c r="G265" s="6"/>
    </row>
    <row r="266" spans="6:7" x14ac:dyDescent="0.25">
      <c r="F266" s="7"/>
      <c r="G266" s="6"/>
    </row>
    <row r="267" spans="6:7" x14ac:dyDescent="0.25">
      <c r="F267" s="7"/>
      <c r="G267" s="6"/>
    </row>
    <row r="268" spans="6:7" x14ac:dyDescent="0.25">
      <c r="F268" s="7"/>
      <c r="G268" s="6"/>
    </row>
    <row r="269" spans="6:7" x14ac:dyDescent="0.25">
      <c r="F269" s="7"/>
      <c r="G269" s="6"/>
    </row>
    <row r="270" spans="6:7" x14ac:dyDescent="0.25">
      <c r="F270" s="7"/>
      <c r="G270" s="6"/>
    </row>
    <row r="271" spans="6:7" x14ac:dyDescent="0.25">
      <c r="F271" s="7"/>
      <c r="G271" s="6"/>
    </row>
    <row r="272" spans="6:7" x14ac:dyDescent="0.25">
      <c r="F272" s="7"/>
      <c r="G272" s="6"/>
    </row>
    <row r="273" spans="6:7" x14ac:dyDescent="0.25">
      <c r="F273" s="7"/>
      <c r="G273" s="6"/>
    </row>
    <row r="274" spans="6:7" x14ac:dyDescent="0.25">
      <c r="F274" s="7"/>
      <c r="G274" s="6"/>
    </row>
    <row r="275" spans="6:7" x14ac:dyDescent="0.25">
      <c r="F275" s="7"/>
      <c r="G275" s="6"/>
    </row>
    <row r="276" spans="6:7" x14ac:dyDescent="0.25">
      <c r="F276" s="7"/>
      <c r="G276" s="6"/>
    </row>
    <row r="277" spans="6:7" x14ac:dyDescent="0.25">
      <c r="F277" s="7"/>
      <c r="G277" s="6"/>
    </row>
    <row r="278" spans="6:7" x14ac:dyDescent="0.25">
      <c r="F278" s="7"/>
      <c r="G278" s="6"/>
    </row>
    <row r="279" spans="6:7" x14ac:dyDescent="0.25">
      <c r="F279" s="7"/>
      <c r="G279" s="6"/>
    </row>
    <row r="280" spans="6:7" x14ac:dyDescent="0.25">
      <c r="F280" s="7"/>
      <c r="G280" s="6"/>
    </row>
    <row r="281" spans="6:7" x14ac:dyDescent="0.25">
      <c r="F281" s="7"/>
      <c r="G281" s="6"/>
    </row>
    <row r="282" spans="6:7" x14ac:dyDescent="0.25">
      <c r="F282" s="7"/>
      <c r="G282" s="6"/>
    </row>
    <row r="283" spans="6:7" x14ac:dyDescent="0.25">
      <c r="F283" s="7"/>
      <c r="G283" s="6"/>
    </row>
    <row r="284" spans="6:7" x14ac:dyDescent="0.25">
      <c r="F284" s="7"/>
      <c r="G284" s="6"/>
    </row>
    <row r="285" spans="6:7" x14ac:dyDescent="0.25">
      <c r="F285" s="7"/>
      <c r="G285" s="6"/>
    </row>
    <row r="286" spans="6:7" x14ac:dyDescent="0.25">
      <c r="F286" s="7"/>
      <c r="G286" s="6"/>
    </row>
    <row r="287" spans="6:7" x14ac:dyDescent="0.25">
      <c r="F287" s="7"/>
      <c r="G287" s="6"/>
    </row>
    <row r="288" spans="6:7" x14ac:dyDescent="0.25">
      <c r="F288" s="7"/>
      <c r="G288" s="6"/>
    </row>
    <row r="289" spans="6:7" x14ac:dyDescent="0.25">
      <c r="F289" s="7"/>
      <c r="G289" s="6"/>
    </row>
    <row r="290" spans="6:7" x14ac:dyDescent="0.25">
      <c r="F290" s="7"/>
      <c r="G290" s="6"/>
    </row>
    <row r="291" spans="6:7" x14ac:dyDescent="0.25">
      <c r="F291" s="7"/>
      <c r="G291" s="6"/>
    </row>
    <row r="292" spans="6:7" x14ac:dyDescent="0.25">
      <c r="F292" s="7"/>
      <c r="G292" s="6"/>
    </row>
    <row r="293" spans="6:7" x14ac:dyDescent="0.25">
      <c r="F293" s="7"/>
      <c r="G293" s="6"/>
    </row>
    <row r="294" spans="6:7" x14ac:dyDescent="0.25">
      <c r="F294" s="7"/>
      <c r="G294" s="6"/>
    </row>
    <row r="295" spans="6:7" x14ac:dyDescent="0.25">
      <c r="F295" s="7"/>
      <c r="G295" s="6"/>
    </row>
    <row r="296" spans="6:7" x14ac:dyDescent="0.25">
      <c r="F296" s="7"/>
      <c r="G296" s="6"/>
    </row>
    <row r="297" spans="6:7" x14ac:dyDescent="0.25">
      <c r="F297" s="7"/>
      <c r="G297" s="6"/>
    </row>
    <row r="298" spans="6:7" x14ac:dyDescent="0.25">
      <c r="F298" s="7"/>
      <c r="G298" s="6"/>
    </row>
    <row r="299" spans="6:7" x14ac:dyDescent="0.25">
      <c r="F299" s="7"/>
      <c r="G299" s="6"/>
    </row>
    <row r="300" spans="6:7" x14ac:dyDescent="0.25">
      <c r="F300" s="7"/>
      <c r="G300" s="6"/>
    </row>
    <row r="301" spans="6:7" x14ac:dyDescent="0.25">
      <c r="F301" s="7"/>
      <c r="G301" s="6"/>
    </row>
    <row r="302" spans="6:7" x14ac:dyDescent="0.25">
      <c r="F302" s="7"/>
      <c r="G302" s="6"/>
    </row>
    <row r="303" spans="6:7" x14ac:dyDescent="0.25">
      <c r="F303" s="7"/>
      <c r="G303" s="6"/>
    </row>
    <row r="304" spans="6:7" x14ac:dyDescent="0.25">
      <c r="F304" s="7"/>
      <c r="G304" s="6"/>
    </row>
    <row r="305" spans="6:7" x14ac:dyDescent="0.25">
      <c r="F305" s="7"/>
      <c r="G305" s="6"/>
    </row>
    <row r="306" spans="6:7" x14ac:dyDescent="0.25">
      <c r="F306" s="7"/>
      <c r="G306" s="6"/>
    </row>
    <row r="307" spans="6:7" x14ac:dyDescent="0.25">
      <c r="F307" s="7"/>
      <c r="G307" s="6"/>
    </row>
    <row r="308" spans="6:7" x14ac:dyDescent="0.25">
      <c r="F308" s="7"/>
      <c r="G308" s="6"/>
    </row>
    <row r="309" spans="6:7" x14ac:dyDescent="0.25">
      <c r="F309" s="7"/>
      <c r="G309" s="6"/>
    </row>
    <row r="310" spans="6:7" x14ac:dyDescent="0.25">
      <c r="F310" s="7"/>
      <c r="G310" s="6"/>
    </row>
    <row r="311" spans="6:7" x14ac:dyDescent="0.25">
      <c r="F311" s="7"/>
      <c r="G311" s="6"/>
    </row>
    <row r="312" spans="6:7" x14ac:dyDescent="0.25">
      <c r="F312" s="7"/>
      <c r="G312" s="6"/>
    </row>
    <row r="313" spans="6:7" x14ac:dyDescent="0.25">
      <c r="F313" s="7"/>
      <c r="G313" s="6"/>
    </row>
    <row r="314" spans="6:7" x14ac:dyDescent="0.25">
      <c r="F314" s="7"/>
      <c r="G314" s="6"/>
    </row>
    <row r="315" spans="6:7" x14ac:dyDescent="0.25">
      <c r="F315" s="7"/>
      <c r="G315" s="6"/>
    </row>
    <row r="316" spans="6:7" x14ac:dyDescent="0.25">
      <c r="F316" s="7"/>
      <c r="G316" s="6"/>
    </row>
    <row r="317" spans="6:7" x14ac:dyDescent="0.25">
      <c r="F317" s="7"/>
      <c r="G317" s="6"/>
    </row>
    <row r="318" spans="6:7" x14ac:dyDescent="0.25">
      <c r="F318" s="7"/>
      <c r="G318" s="6"/>
    </row>
    <row r="319" spans="6:7" x14ac:dyDescent="0.25">
      <c r="F319" s="7"/>
      <c r="G319" s="6"/>
    </row>
    <row r="320" spans="6:7" x14ac:dyDescent="0.25">
      <c r="F320" s="7"/>
      <c r="G320" s="6"/>
    </row>
    <row r="321" spans="6:7" x14ac:dyDescent="0.25">
      <c r="F321" s="7"/>
      <c r="G321" s="6"/>
    </row>
    <row r="322" spans="6:7" x14ac:dyDescent="0.25">
      <c r="F322" s="7"/>
      <c r="G322" s="6"/>
    </row>
    <row r="323" spans="6:7" x14ac:dyDescent="0.25">
      <c r="F323" s="7"/>
      <c r="G323" s="6"/>
    </row>
    <row r="324" spans="6:7" x14ac:dyDescent="0.25">
      <c r="F324" s="7"/>
      <c r="G324" s="6"/>
    </row>
    <row r="325" spans="6:7" x14ac:dyDescent="0.25">
      <c r="F325" s="7"/>
      <c r="G325" s="6"/>
    </row>
    <row r="326" spans="6:7" x14ac:dyDescent="0.25">
      <c r="F326" s="7"/>
      <c r="G326" s="6"/>
    </row>
    <row r="327" spans="6:7" x14ac:dyDescent="0.25">
      <c r="F327" s="7"/>
      <c r="G327" s="6"/>
    </row>
    <row r="328" spans="6:7" x14ac:dyDescent="0.25">
      <c r="F328" s="7"/>
      <c r="G328" s="6"/>
    </row>
    <row r="329" spans="6:7" x14ac:dyDescent="0.25">
      <c r="F329" s="7"/>
      <c r="G329" s="6"/>
    </row>
    <row r="330" spans="6:7" x14ac:dyDescent="0.25">
      <c r="F330" s="7"/>
      <c r="G330" s="6"/>
    </row>
    <row r="331" spans="6:7" x14ac:dyDescent="0.25">
      <c r="F331" s="7"/>
      <c r="G331" s="6"/>
    </row>
    <row r="332" spans="6:7" x14ac:dyDescent="0.25">
      <c r="F332" s="7"/>
      <c r="G332" s="6"/>
    </row>
    <row r="333" spans="6:7" x14ac:dyDescent="0.25">
      <c r="F333" s="7"/>
      <c r="G333" s="6"/>
    </row>
    <row r="334" spans="6:7" x14ac:dyDescent="0.25">
      <c r="F334" s="7"/>
      <c r="G334" s="6"/>
    </row>
    <row r="335" spans="6:7" x14ac:dyDescent="0.25">
      <c r="F335" s="7"/>
      <c r="G335" s="6"/>
    </row>
    <row r="336" spans="6:7" x14ac:dyDescent="0.25">
      <c r="F336" s="7"/>
      <c r="G336" s="6"/>
    </row>
    <row r="337" spans="6:7" x14ac:dyDescent="0.25">
      <c r="F337" s="7"/>
      <c r="G337" s="6"/>
    </row>
    <row r="338" spans="6:7" x14ac:dyDescent="0.25">
      <c r="F338" s="7"/>
      <c r="G338" s="6"/>
    </row>
    <row r="339" spans="6:7" x14ac:dyDescent="0.25">
      <c r="F339" s="7"/>
      <c r="G339" s="6"/>
    </row>
    <row r="340" spans="6:7" x14ac:dyDescent="0.25">
      <c r="F340" s="7"/>
      <c r="G340" s="6"/>
    </row>
    <row r="341" spans="6:7" x14ac:dyDescent="0.25">
      <c r="F341" s="7"/>
      <c r="G341" s="6"/>
    </row>
    <row r="342" spans="6:7" x14ac:dyDescent="0.25">
      <c r="F342" s="7"/>
      <c r="G342" s="6"/>
    </row>
    <row r="343" spans="6:7" x14ac:dyDescent="0.25">
      <c r="F343" s="7"/>
      <c r="G343" s="6"/>
    </row>
    <row r="344" spans="6:7" x14ac:dyDescent="0.25">
      <c r="F344" s="7"/>
      <c r="G344" s="6"/>
    </row>
    <row r="345" spans="6:7" x14ac:dyDescent="0.25">
      <c r="F345" s="7"/>
      <c r="G345" s="6"/>
    </row>
    <row r="346" spans="6:7" x14ac:dyDescent="0.25">
      <c r="F346" s="7"/>
      <c r="G346" s="6"/>
    </row>
    <row r="347" spans="6:7" x14ac:dyDescent="0.25">
      <c r="F347" s="7"/>
      <c r="G347" s="6"/>
    </row>
    <row r="348" spans="6:7" x14ac:dyDescent="0.25">
      <c r="F348" s="7"/>
      <c r="G348" s="6"/>
    </row>
    <row r="349" spans="6:7" x14ac:dyDescent="0.25">
      <c r="F349" s="7"/>
      <c r="G349" s="6"/>
    </row>
    <row r="350" spans="6:7" x14ac:dyDescent="0.25">
      <c r="F350" s="7"/>
      <c r="G350" s="6"/>
    </row>
    <row r="351" spans="6:7" x14ac:dyDescent="0.25">
      <c r="F351" s="7"/>
      <c r="G351" s="6"/>
    </row>
    <row r="352" spans="6:7" x14ac:dyDescent="0.25">
      <c r="F352" s="7"/>
      <c r="G352" s="6"/>
    </row>
    <row r="353" spans="6:7" x14ac:dyDescent="0.25">
      <c r="F353" s="7"/>
      <c r="G353" s="6"/>
    </row>
    <row r="354" spans="6:7" x14ac:dyDescent="0.25">
      <c r="F354" s="7"/>
      <c r="G354" s="6"/>
    </row>
    <row r="355" spans="6:7" x14ac:dyDescent="0.25">
      <c r="F355" s="7"/>
      <c r="G355" s="6"/>
    </row>
    <row r="356" spans="6:7" x14ac:dyDescent="0.25">
      <c r="F356" s="7"/>
      <c r="G356" s="6"/>
    </row>
    <row r="357" spans="6:7" x14ac:dyDescent="0.25">
      <c r="F357" s="7"/>
      <c r="G357" s="6"/>
    </row>
    <row r="358" spans="6:7" x14ac:dyDescent="0.25">
      <c r="F358" s="7"/>
      <c r="G358" s="6"/>
    </row>
    <row r="359" spans="6:7" x14ac:dyDescent="0.25">
      <c r="F359" s="7"/>
      <c r="G359" s="6"/>
    </row>
    <row r="360" spans="6:7" x14ac:dyDescent="0.25">
      <c r="F360" s="7"/>
      <c r="G360" s="6"/>
    </row>
    <row r="361" spans="6:7" x14ac:dyDescent="0.25">
      <c r="F361" s="7"/>
      <c r="G361" s="6"/>
    </row>
    <row r="362" spans="6:7" x14ac:dyDescent="0.25">
      <c r="F362" s="7"/>
      <c r="G362" s="6"/>
    </row>
    <row r="363" spans="6:7" x14ac:dyDescent="0.25">
      <c r="F363" s="7"/>
      <c r="G363" s="6"/>
    </row>
    <row r="364" spans="6:7" x14ac:dyDescent="0.25">
      <c r="F364" s="7"/>
      <c r="G364" s="6"/>
    </row>
    <row r="365" spans="6:7" x14ac:dyDescent="0.25">
      <c r="F365" s="7"/>
      <c r="G365" s="6"/>
    </row>
    <row r="366" spans="6:7" x14ac:dyDescent="0.25">
      <c r="F366" s="7"/>
      <c r="G366" s="6"/>
    </row>
    <row r="367" spans="6:7" x14ac:dyDescent="0.25">
      <c r="F367" s="7"/>
      <c r="G367" s="6"/>
    </row>
    <row r="368" spans="6:7" x14ac:dyDescent="0.25">
      <c r="F368" s="7"/>
      <c r="G368" s="6"/>
    </row>
    <row r="369" spans="6:7" x14ac:dyDescent="0.25">
      <c r="F369" s="7"/>
      <c r="G369" s="6"/>
    </row>
    <row r="370" spans="6:7" x14ac:dyDescent="0.25">
      <c r="F370" s="7"/>
      <c r="G370" s="6"/>
    </row>
    <row r="371" spans="6:7" x14ac:dyDescent="0.25">
      <c r="F371" s="7"/>
      <c r="G371" s="6"/>
    </row>
    <row r="372" spans="6:7" x14ac:dyDescent="0.25">
      <c r="F372" s="7"/>
      <c r="G372" s="6"/>
    </row>
    <row r="373" spans="6:7" x14ac:dyDescent="0.25">
      <c r="F373" s="7"/>
      <c r="G373" s="6"/>
    </row>
    <row r="374" spans="6:7" x14ac:dyDescent="0.25">
      <c r="F374" s="7"/>
      <c r="G374" s="6"/>
    </row>
    <row r="375" spans="6:7" x14ac:dyDescent="0.25">
      <c r="F375" s="7"/>
      <c r="G375" s="6"/>
    </row>
    <row r="376" spans="6:7" x14ac:dyDescent="0.25">
      <c r="F376" s="7"/>
      <c r="G376" s="6"/>
    </row>
    <row r="377" spans="6:7" x14ac:dyDescent="0.25">
      <c r="F377" s="7"/>
      <c r="G377" s="6"/>
    </row>
    <row r="378" spans="6:7" x14ac:dyDescent="0.25">
      <c r="F378" s="7"/>
      <c r="G378" s="6"/>
    </row>
    <row r="379" spans="6:7" x14ac:dyDescent="0.25">
      <c r="F379" s="7"/>
      <c r="G379" s="6"/>
    </row>
    <row r="380" spans="6:7" x14ac:dyDescent="0.25">
      <c r="F380" s="7"/>
      <c r="G380" s="6"/>
    </row>
    <row r="381" spans="6:7" x14ac:dyDescent="0.25">
      <c r="F381" s="7"/>
      <c r="G381" s="6"/>
    </row>
    <row r="382" spans="6:7" x14ac:dyDescent="0.25">
      <c r="F382" s="7"/>
      <c r="G382" s="6"/>
    </row>
    <row r="383" spans="6:7" x14ac:dyDescent="0.25">
      <c r="F383" s="7"/>
      <c r="G383" s="6"/>
    </row>
    <row r="384" spans="6:7" x14ac:dyDescent="0.25">
      <c r="F384" s="7"/>
      <c r="G384" s="6"/>
    </row>
    <row r="385" spans="6:7" x14ac:dyDescent="0.25">
      <c r="F385" s="7"/>
      <c r="G385" s="6"/>
    </row>
    <row r="386" spans="6:7" x14ac:dyDescent="0.25">
      <c r="F386" s="7"/>
      <c r="G386" s="6"/>
    </row>
    <row r="387" spans="6:7" x14ac:dyDescent="0.25">
      <c r="F387" s="7"/>
      <c r="G387" s="6"/>
    </row>
    <row r="388" spans="6:7" x14ac:dyDescent="0.25">
      <c r="F388" s="7"/>
      <c r="G388" s="6"/>
    </row>
    <row r="389" spans="6:7" x14ac:dyDescent="0.25">
      <c r="F389" s="7"/>
      <c r="G389" s="6"/>
    </row>
    <row r="390" spans="6:7" x14ac:dyDescent="0.25">
      <c r="F390" s="7"/>
      <c r="G390" s="6"/>
    </row>
    <row r="391" spans="6:7" x14ac:dyDescent="0.25">
      <c r="F391" s="7"/>
      <c r="G391" s="6"/>
    </row>
    <row r="392" spans="6:7" x14ac:dyDescent="0.25">
      <c r="F392" s="7"/>
      <c r="G392" s="6"/>
    </row>
    <row r="393" spans="6:7" x14ac:dyDescent="0.25">
      <c r="F393" s="7"/>
      <c r="G393" s="6"/>
    </row>
    <row r="394" spans="6:7" x14ac:dyDescent="0.25">
      <c r="F394" s="7"/>
      <c r="G394" s="6"/>
    </row>
    <row r="395" spans="6:7" x14ac:dyDescent="0.25">
      <c r="F395" s="7"/>
      <c r="G395" s="6"/>
    </row>
    <row r="396" spans="6:7" x14ac:dyDescent="0.25">
      <c r="F396" s="7"/>
      <c r="G396" s="6"/>
    </row>
    <row r="397" spans="6:7" x14ac:dyDescent="0.25">
      <c r="F397" s="7"/>
      <c r="G397" s="6"/>
    </row>
    <row r="398" spans="6:7" x14ac:dyDescent="0.25">
      <c r="F398" s="7"/>
      <c r="G398" s="6"/>
    </row>
    <row r="399" spans="6:7" x14ac:dyDescent="0.25">
      <c r="F399" s="7"/>
      <c r="G399" s="6"/>
    </row>
    <row r="400" spans="6:7" x14ac:dyDescent="0.25">
      <c r="F400" s="7"/>
      <c r="G400" s="6"/>
    </row>
    <row r="401" spans="6:7" x14ac:dyDescent="0.25">
      <c r="F401" s="7"/>
      <c r="G401" s="6"/>
    </row>
    <row r="402" spans="6:7" x14ac:dyDescent="0.25">
      <c r="F402" s="7"/>
      <c r="G402" s="6"/>
    </row>
    <row r="403" spans="6:7" x14ac:dyDescent="0.25">
      <c r="F403" s="7"/>
      <c r="G403" s="6"/>
    </row>
    <row r="404" spans="6:7" x14ac:dyDescent="0.25">
      <c r="F404" s="7"/>
      <c r="G404" s="6"/>
    </row>
    <row r="405" spans="6:7" x14ac:dyDescent="0.25">
      <c r="F405" s="7"/>
      <c r="G405" s="6"/>
    </row>
    <row r="406" spans="6:7" x14ac:dyDescent="0.25">
      <c r="F406" s="7"/>
      <c r="G406" s="6"/>
    </row>
    <row r="407" spans="6:7" x14ac:dyDescent="0.25">
      <c r="F407" s="7"/>
      <c r="G407" s="6"/>
    </row>
    <row r="408" spans="6:7" x14ac:dyDescent="0.25">
      <c r="F408" s="7"/>
      <c r="G408" s="6"/>
    </row>
    <row r="409" spans="6:7" x14ac:dyDescent="0.25">
      <c r="F409" s="7"/>
      <c r="G409" s="6"/>
    </row>
    <row r="410" spans="6:7" x14ac:dyDescent="0.25">
      <c r="F410" s="7"/>
      <c r="G410" s="6"/>
    </row>
    <row r="411" spans="6:7" x14ac:dyDescent="0.25">
      <c r="F411" s="7"/>
      <c r="G411" s="6"/>
    </row>
    <row r="412" spans="6:7" x14ac:dyDescent="0.25">
      <c r="F412" s="7"/>
      <c r="G412" s="6"/>
    </row>
  </sheetData>
  <mergeCells count="1">
    <mergeCell ref="A1:H1"/>
  </mergeCells>
  <dataValidations count="1">
    <dataValidation type="list" allowBlank="1" showInputMessage="1" showErrorMessage="1" sqref="H3:H1048576" xr:uid="{00000000-0002-0000-04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IF(Animal!$B$3:$B$14&lt;&gt;0,Animal!$B$3:$B$14,)</xm:f>
          </x14:formula1>
          <xm:sqref>C4</xm:sqref>
        </x14:dataValidation>
        <x14:dataValidation type="list" allowBlank="1" showInputMessage="1" showErrorMessage="1" xr:uid="{00000000-0002-0000-0400-000002000000}">
          <x14:formula1>
            <xm:f>'Propriedades Rurais'!$B$3:$B$1048576</xm:f>
          </x14:formula1>
          <xm:sqref>D7:D16 D3:D5</xm:sqref>
        </x14:dataValidation>
        <x14:dataValidation type="list" allowBlank="1" showInputMessage="1" showErrorMessage="1" xr:uid="{4F4668DF-9C6C-4965-90EF-8BD80D1895E5}">
          <x14:formula1>
            <xm:f>Animal!$W3:$W1000000</xm:f>
          </x14:formula1>
          <xm:sqref>C3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DEF0A-DDD0-492C-A9DD-16F2C4551DFA}">
  <sheetPr codeName="Planilha22">
    <tabColor rgb="FF00B050"/>
  </sheetPr>
  <dimension ref="A1:O4"/>
  <sheetViews>
    <sheetView workbookViewId="0">
      <pane ySplit="2" topLeftCell="A3" activePane="bottomLeft" state="frozen"/>
      <selection activeCell="N24" sqref="C24:N24"/>
      <selection pane="bottomLeft" activeCell="A3" sqref="A3"/>
    </sheetView>
  </sheetViews>
  <sheetFormatPr defaultColWidth="0" defaultRowHeight="15" x14ac:dyDescent="0.25"/>
  <cols>
    <col min="1" max="1" width="7.42578125" bestFit="1" customWidth="1"/>
    <col min="2" max="2" width="15.7109375" bestFit="1" customWidth="1"/>
    <col min="3" max="3" width="12.140625" bestFit="1" customWidth="1"/>
    <col min="4" max="4" width="13.85546875" bestFit="1" customWidth="1"/>
    <col min="5" max="5" width="11.85546875" bestFit="1" customWidth="1"/>
    <col min="6" max="6" width="9.42578125" bestFit="1" customWidth="1"/>
    <col min="7" max="7" width="14" bestFit="1" customWidth="1"/>
    <col min="8" max="8" width="10" bestFit="1" customWidth="1"/>
    <col min="9" max="10" width="15.140625" bestFit="1" customWidth="1"/>
    <col min="11" max="11" width="16.42578125" bestFit="1" customWidth="1"/>
    <col min="12" max="12" width="20.140625" bestFit="1" customWidth="1"/>
    <col min="13" max="13" width="9.85546875" bestFit="1" customWidth="1"/>
    <col min="14" max="15" width="0" hidden="1" customWidth="1"/>
    <col min="16" max="16384" width="9.140625" hidden="1"/>
  </cols>
  <sheetData>
    <row r="1" spans="1:15" ht="26.25" x14ac:dyDescent="0.25">
      <c r="A1" s="29" t="s">
        <v>369</v>
      </c>
      <c r="B1" s="30"/>
      <c r="C1" s="31"/>
      <c r="D1" s="31"/>
      <c r="E1" s="31"/>
      <c r="F1" s="31"/>
      <c r="G1" s="31"/>
      <c r="H1" s="31"/>
      <c r="I1" s="31"/>
      <c r="J1" s="31"/>
      <c r="K1" s="31"/>
      <c r="L1" s="31"/>
      <c r="M1" s="32"/>
    </row>
    <row r="2" spans="1:15" x14ac:dyDescent="0.25">
      <c r="A2" s="37" t="s">
        <v>1</v>
      </c>
      <c r="B2" s="38" t="s">
        <v>370</v>
      </c>
      <c r="C2" s="38" t="s">
        <v>12</v>
      </c>
      <c r="D2" s="38" t="s">
        <v>27</v>
      </c>
      <c r="E2" s="38" t="s">
        <v>371</v>
      </c>
      <c r="F2" s="38" t="s">
        <v>175</v>
      </c>
      <c r="G2" s="38" t="s">
        <v>372</v>
      </c>
      <c r="H2" s="38" t="s">
        <v>373</v>
      </c>
      <c r="I2" s="38" t="s">
        <v>374</v>
      </c>
      <c r="J2" s="38" t="s">
        <v>375</v>
      </c>
      <c r="K2" s="38" t="s">
        <v>376</v>
      </c>
      <c r="L2" s="38" t="s">
        <v>377</v>
      </c>
      <c r="M2" s="37" t="s">
        <v>2</v>
      </c>
      <c r="N2" s="26" t="s">
        <v>441</v>
      </c>
      <c r="O2" s="26" t="s">
        <v>442</v>
      </c>
    </row>
    <row r="3" spans="1:15" x14ac:dyDescent="0.25">
      <c r="A3" s="1">
        <v>1</v>
      </c>
      <c r="B3" s="13">
        <v>45316</v>
      </c>
      <c r="C3" s="1" t="s">
        <v>13</v>
      </c>
      <c r="D3" s="1" t="s">
        <v>403</v>
      </c>
      <c r="E3" s="1">
        <v>1</v>
      </c>
      <c r="F3" s="1" t="s">
        <v>279</v>
      </c>
      <c r="G3" s="1" t="s">
        <v>445</v>
      </c>
      <c r="H3" s="1">
        <v>100</v>
      </c>
      <c r="I3" s="40">
        <v>1500</v>
      </c>
      <c r="J3" s="41">
        <v>150000</v>
      </c>
      <c r="K3" s="13">
        <v>45713</v>
      </c>
      <c r="L3" s="13">
        <v>45713</v>
      </c>
      <c r="M3" s="13"/>
    </row>
    <row r="4" spans="1:15" x14ac:dyDescent="0.25">
      <c r="B4" s="13"/>
      <c r="C4" s="1"/>
      <c r="D4" s="1"/>
      <c r="E4" s="1"/>
      <c r="F4" s="1"/>
      <c r="G4" s="1"/>
      <c r="H4" s="1"/>
      <c r="I4" s="40"/>
      <c r="J4" s="41"/>
      <c r="K4" s="13"/>
      <c r="L4" s="13"/>
      <c r="M4" s="13"/>
    </row>
  </sheetData>
  <conditionalFormatting sqref="M3">
    <cfRule type="expression" dxfId="78" priority="1">
      <formula>AND(#REF!&lt;&gt;"",MOD(ROW(), 2)=1)</formula>
    </cfRule>
    <cfRule type="expression" dxfId="77" priority="2">
      <formula>#REF!&lt;&gt;""</formula>
    </cfRule>
  </conditionalFormatting>
  <dataValidations count="1">
    <dataValidation type="list" allowBlank="1" showInputMessage="1" showErrorMessage="1" sqref="M3" xr:uid="{429E4DDA-F46D-4FB2-846F-E5FACE72F63A}">
      <formula1>"Excluir"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FF79D5F-C347-439B-8D04-FD366819F5E7}">
          <x14:formula1>
            <xm:f>'Tipo Receita'!$B$3:$B$1048576</xm:f>
          </x14:formula1>
          <xm:sqref>C3</xm:sqref>
        </x14:dataValidation>
        <x14:dataValidation type="list" allowBlank="1" showInputMessage="1" showErrorMessage="1" xr:uid="{EE5D2AC0-D6B8-49B2-AC47-011AD372FD48}">
          <x14:formula1>
            <xm:f>Clientes!$B$3:$B$1048576</xm:f>
          </x14:formula1>
          <xm:sqref>D3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>
    <tabColor rgb="FF00B050"/>
  </sheetPr>
  <dimension ref="A1:AK14"/>
  <sheetViews>
    <sheetView workbookViewId="0">
      <pane ySplit="2" topLeftCell="A3" activePane="bottomLeft" state="frozen"/>
      <selection activeCell="N24" sqref="C24:N24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47</v>
      </c>
      <c r="B1" s="55"/>
      <c r="C1" s="55"/>
    </row>
    <row r="2" spans="1:3" x14ac:dyDescent="0.25">
      <c r="A2" s="1" t="s">
        <v>1</v>
      </c>
      <c r="B2" s="1" t="s">
        <v>47</v>
      </c>
      <c r="C2" s="1" t="s">
        <v>2</v>
      </c>
    </row>
    <row r="3" spans="1:3" x14ac:dyDescent="0.25">
      <c r="A3" s="1">
        <v>1</v>
      </c>
      <c r="B3" s="1" t="s">
        <v>142</v>
      </c>
      <c r="C3" s="1"/>
    </row>
    <row r="4" spans="1:3" x14ac:dyDescent="0.25">
      <c r="A4" s="1">
        <v>2</v>
      </c>
      <c r="B4" s="1" t="s">
        <v>143</v>
      </c>
      <c r="C4" s="1"/>
    </row>
    <row r="5" spans="1:3" x14ac:dyDescent="0.25">
      <c r="A5" s="1">
        <v>3</v>
      </c>
      <c r="B5" s="1" t="s">
        <v>144</v>
      </c>
      <c r="C5" s="1"/>
    </row>
    <row r="6" spans="1:3" x14ac:dyDescent="0.25">
      <c r="A6" s="1">
        <v>4</v>
      </c>
      <c r="B6" s="1" t="s">
        <v>145</v>
      </c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8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>
    <tabColor rgb="FF00B050"/>
  </sheetPr>
  <dimension ref="A1:AK14"/>
  <sheetViews>
    <sheetView workbookViewId="0">
      <pane ySplit="2" topLeftCell="A3" activePane="bottomLeft" state="frozen"/>
      <selection activeCell="N24" sqref="C24:N24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56</v>
      </c>
      <c r="B1" s="55"/>
      <c r="C1" s="55"/>
    </row>
    <row r="2" spans="1:3" x14ac:dyDescent="0.25">
      <c r="A2" s="1" t="s">
        <v>1</v>
      </c>
      <c r="B2" s="1" t="s">
        <v>56</v>
      </c>
      <c r="C2" s="1" t="s">
        <v>2</v>
      </c>
    </row>
    <row r="3" spans="1:3" x14ac:dyDescent="0.25">
      <c r="A3" s="1">
        <v>1</v>
      </c>
      <c r="B3" s="1" t="s">
        <v>57</v>
      </c>
      <c r="C3" s="1"/>
    </row>
    <row r="4" spans="1:3" x14ac:dyDescent="0.25">
      <c r="A4" s="1">
        <v>2</v>
      </c>
      <c r="B4" s="1" t="s">
        <v>58</v>
      </c>
      <c r="C4" s="1"/>
    </row>
    <row r="5" spans="1:3" x14ac:dyDescent="0.25">
      <c r="A5" s="1">
        <v>3</v>
      </c>
      <c r="B5" s="1" t="s">
        <v>59</v>
      </c>
      <c r="C5" s="1"/>
    </row>
    <row r="6" spans="1:3" x14ac:dyDescent="0.25">
      <c r="A6" s="1">
        <v>4</v>
      </c>
      <c r="B6" s="1" t="s">
        <v>60</v>
      </c>
      <c r="C6" s="1"/>
    </row>
    <row r="7" spans="1:3" x14ac:dyDescent="0.25">
      <c r="A7" s="1">
        <v>5</v>
      </c>
      <c r="B7" s="1" t="s">
        <v>61</v>
      </c>
      <c r="C7" s="1"/>
    </row>
    <row r="8" spans="1:3" x14ac:dyDescent="0.25">
      <c r="A8" s="1">
        <v>6</v>
      </c>
      <c r="B8" s="1" t="s">
        <v>62</v>
      </c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B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5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6</v>
      </c>
      <c r="B1" s="55"/>
      <c r="C1" s="55"/>
    </row>
    <row r="2" spans="1:3" x14ac:dyDescent="0.25">
      <c r="A2" s="1" t="s">
        <v>1</v>
      </c>
      <c r="B2" s="1" t="s">
        <v>7</v>
      </c>
      <c r="C2" s="1" t="s">
        <v>2</v>
      </c>
    </row>
    <row r="3" spans="1:3" x14ac:dyDescent="0.25">
      <c r="A3" s="1">
        <v>1</v>
      </c>
      <c r="B3" s="1" t="s">
        <v>196</v>
      </c>
      <c r="C3" s="1"/>
    </row>
    <row r="4" spans="1:3" x14ac:dyDescent="0.25">
      <c r="A4" s="1">
        <v>2</v>
      </c>
      <c r="B4" s="1" t="s">
        <v>8</v>
      </c>
      <c r="C4" s="1"/>
    </row>
    <row r="5" spans="1:3" x14ac:dyDescent="0.25">
      <c r="A5" s="1">
        <v>3</v>
      </c>
      <c r="B5" s="1" t="s">
        <v>9</v>
      </c>
      <c r="C5" s="1"/>
    </row>
    <row r="6" spans="1:3" x14ac:dyDescent="0.25">
      <c r="A6" s="1">
        <v>4</v>
      </c>
      <c r="B6" s="1" t="s">
        <v>10</v>
      </c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D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3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157</v>
      </c>
      <c r="B1" s="55"/>
      <c r="C1" s="55"/>
    </row>
    <row r="2" spans="1:3" x14ac:dyDescent="0.25">
      <c r="A2" s="1" t="s">
        <v>1</v>
      </c>
      <c r="B2" s="1" t="s">
        <v>158</v>
      </c>
      <c r="C2" s="1" t="s">
        <v>2</v>
      </c>
    </row>
    <row r="3" spans="1:3" x14ac:dyDescent="0.25">
      <c r="A3" s="1">
        <v>1</v>
      </c>
      <c r="B3" s="1" t="s">
        <v>159</v>
      </c>
      <c r="C3" s="1"/>
    </row>
    <row r="4" spans="1:3" x14ac:dyDescent="0.25">
      <c r="A4" s="1">
        <v>2</v>
      </c>
      <c r="B4" s="1" t="s">
        <v>160</v>
      </c>
      <c r="C4" s="1"/>
    </row>
    <row r="5" spans="1:3" x14ac:dyDescent="0.25">
      <c r="A5" s="1">
        <v>3</v>
      </c>
      <c r="B5" s="1" t="s">
        <v>161</v>
      </c>
      <c r="C5" s="1"/>
    </row>
    <row r="6" spans="1:3" x14ac:dyDescent="0.25">
      <c r="A6" s="1">
        <v>4</v>
      </c>
      <c r="B6" s="1" t="s">
        <v>162</v>
      </c>
      <c r="C6" s="1"/>
    </row>
    <row r="7" spans="1:3" x14ac:dyDescent="0.25">
      <c r="A7" s="1">
        <v>5</v>
      </c>
      <c r="B7" s="1" t="s">
        <v>163</v>
      </c>
      <c r="C7" s="1"/>
    </row>
    <row r="8" spans="1:3" x14ac:dyDescent="0.25">
      <c r="A8" s="1">
        <v>6</v>
      </c>
      <c r="B8" s="1" t="s">
        <v>164</v>
      </c>
      <c r="C8" s="1"/>
    </row>
    <row r="9" spans="1:3" x14ac:dyDescent="0.25">
      <c r="A9" s="1">
        <v>7</v>
      </c>
      <c r="B9" s="1" t="s">
        <v>165</v>
      </c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5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9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64</v>
      </c>
      <c r="B1" s="55"/>
      <c r="C1" s="55"/>
    </row>
    <row r="2" spans="1:3" x14ac:dyDescent="0.25">
      <c r="A2" s="1" t="s">
        <v>1</v>
      </c>
      <c r="B2" s="1" t="s">
        <v>49</v>
      </c>
      <c r="C2" s="1" t="s">
        <v>2</v>
      </c>
    </row>
    <row r="3" spans="1:3" x14ac:dyDescent="0.25">
      <c r="A3" s="1">
        <v>1</v>
      </c>
      <c r="B3" s="1" t="s">
        <v>67</v>
      </c>
      <c r="C3" s="1"/>
    </row>
    <row r="4" spans="1:3" x14ac:dyDescent="0.25">
      <c r="A4" s="1">
        <v>2</v>
      </c>
      <c r="B4" s="1" t="s">
        <v>68</v>
      </c>
      <c r="C4" s="1"/>
    </row>
    <row r="5" spans="1:3" x14ac:dyDescent="0.25">
      <c r="B5" s="1"/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9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2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0</v>
      </c>
      <c r="B1" s="55"/>
      <c r="C1" s="55"/>
    </row>
    <row r="2" spans="1:3" x14ac:dyDescent="0.25">
      <c r="A2" s="1" t="s">
        <v>1</v>
      </c>
      <c r="B2" s="1" t="s">
        <v>0</v>
      </c>
      <c r="C2" s="1" t="s">
        <v>2</v>
      </c>
    </row>
    <row r="3" spans="1:3" x14ac:dyDescent="0.25">
      <c r="A3" s="1">
        <v>1</v>
      </c>
      <c r="B3" s="1" t="s">
        <v>3</v>
      </c>
      <c r="C3" s="1"/>
    </row>
    <row r="4" spans="1:3" x14ac:dyDescent="0.25">
      <c r="A4" s="1">
        <v>2</v>
      </c>
      <c r="B4" s="1" t="s">
        <v>4</v>
      </c>
      <c r="C4" s="1"/>
    </row>
    <row r="5" spans="1:3" x14ac:dyDescent="0.25">
      <c r="A5" s="1">
        <v>3</v>
      </c>
      <c r="B5" s="1" t="s">
        <v>5</v>
      </c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C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rgb="FF00B050"/>
  </sheetPr>
  <dimension ref="A1:AX20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9.140625" defaultRowHeight="15" x14ac:dyDescent="0.25"/>
  <cols>
    <col min="1" max="1" width="7.42578125" style="1" bestFit="1" customWidth="1"/>
    <col min="2" max="2" width="26.85546875" bestFit="1" customWidth="1"/>
    <col min="3" max="3" width="15.7109375" bestFit="1" customWidth="1"/>
    <col min="4" max="4" width="13.140625" bestFit="1" customWidth="1"/>
    <col min="5" max="5" width="9.85546875" bestFit="1" customWidth="1"/>
    <col min="6" max="6" width="2" bestFit="1" customWidth="1"/>
    <col min="7" max="7" width="9.140625" customWidth="1"/>
    <col min="8" max="8" width="5.5703125" bestFit="1" customWidth="1"/>
    <col min="9" max="36" width="9.140625" customWidth="1"/>
    <col min="37" max="37" width="20.85546875" customWidth="1"/>
    <col min="38" max="38" width="10" customWidth="1"/>
    <col min="39" max="39" width="11.28515625" customWidth="1"/>
  </cols>
  <sheetData>
    <row r="1" spans="1:50" ht="26.25" x14ac:dyDescent="0.25">
      <c r="A1" s="54" t="s">
        <v>146</v>
      </c>
      <c r="B1" s="55"/>
      <c r="C1" s="55"/>
      <c r="D1" s="55"/>
      <c r="E1" s="55"/>
    </row>
    <row r="2" spans="1:50" x14ac:dyDescent="0.25">
      <c r="A2" s="1" t="s">
        <v>1</v>
      </c>
      <c r="B2" s="1" t="s">
        <v>45</v>
      </c>
      <c r="C2" s="1" t="s">
        <v>513</v>
      </c>
      <c r="D2" s="1" t="s">
        <v>398</v>
      </c>
      <c r="E2" s="1" t="s">
        <v>2</v>
      </c>
    </row>
    <row r="3" spans="1:50" x14ac:dyDescent="0.25">
      <c r="A3" s="1">
        <v>1</v>
      </c>
      <c r="B3" s="1" t="s">
        <v>147</v>
      </c>
      <c r="C3" s="1" t="s">
        <v>474</v>
      </c>
      <c r="D3" s="1" t="s">
        <v>512</v>
      </c>
      <c r="E3" s="1"/>
      <c r="AX3">
        <v>2</v>
      </c>
    </row>
    <row r="4" spans="1:50" x14ac:dyDescent="0.25">
      <c r="A4" s="1">
        <v>2</v>
      </c>
      <c r="B4" s="1" t="s">
        <v>148</v>
      </c>
      <c r="C4" s="1" t="s">
        <v>474</v>
      </c>
      <c r="D4" s="1" t="s">
        <v>512</v>
      </c>
      <c r="E4" s="1"/>
    </row>
    <row r="5" spans="1:50" x14ac:dyDescent="0.25">
      <c r="A5" s="1">
        <v>3</v>
      </c>
      <c r="B5" s="1" t="s">
        <v>149</v>
      </c>
      <c r="C5" s="1" t="s">
        <v>474</v>
      </c>
      <c r="D5" s="1" t="s">
        <v>512</v>
      </c>
      <c r="E5" s="1"/>
    </row>
    <row r="6" spans="1:50" x14ac:dyDescent="0.25">
      <c r="A6" s="1">
        <v>4</v>
      </c>
      <c r="B6" s="1" t="s">
        <v>150</v>
      </c>
      <c r="C6" s="1" t="s">
        <v>474</v>
      </c>
      <c r="D6" s="1" t="s">
        <v>512</v>
      </c>
      <c r="E6" s="1"/>
    </row>
    <row r="7" spans="1:50" x14ac:dyDescent="0.25">
      <c r="A7" s="1">
        <v>5</v>
      </c>
      <c r="B7" s="1" t="s">
        <v>151</v>
      </c>
      <c r="C7" s="1" t="s">
        <v>474</v>
      </c>
      <c r="D7" s="1" t="s">
        <v>512</v>
      </c>
      <c r="E7" s="1"/>
    </row>
    <row r="8" spans="1:50" x14ac:dyDescent="0.25">
      <c r="A8" s="1">
        <v>6</v>
      </c>
      <c r="B8" s="1" t="s">
        <v>152</v>
      </c>
      <c r="C8" s="1" t="s">
        <v>474</v>
      </c>
      <c r="D8" s="1" t="s">
        <v>512</v>
      </c>
      <c r="E8" s="1"/>
    </row>
    <row r="9" spans="1:50" x14ac:dyDescent="0.25">
      <c r="B9" s="1"/>
      <c r="C9" s="1"/>
      <c r="D9" s="1"/>
      <c r="E9" s="1"/>
    </row>
    <row r="10" spans="1:50" x14ac:dyDescent="0.25">
      <c r="B10" s="1"/>
      <c r="C10" s="1"/>
      <c r="D10" s="1"/>
      <c r="E10" s="1"/>
    </row>
    <row r="11" spans="1:50" x14ac:dyDescent="0.25">
      <c r="B11" s="1"/>
      <c r="C11" s="1"/>
      <c r="D11" s="1"/>
      <c r="E11" s="1"/>
    </row>
    <row r="12" spans="1:50" x14ac:dyDescent="0.25">
      <c r="B12" s="1"/>
      <c r="C12" s="1"/>
      <c r="D12" s="1"/>
      <c r="E12" s="1"/>
    </row>
    <row r="13" spans="1:50" x14ac:dyDescent="0.25">
      <c r="B13" s="1"/>
      <c r="C13" s="1"/>
      <c r="D13" s="1"/>
      <c r="E13" s="1"/>
    </row>
    <row r="14" spans="1:50" x14ac:dyDescent="0.25">
      <c r="B14" s="1"/>
      <c r="C14" s="1"/>
      <c r="D14" s="1"/>
      <c r="E14" s="1"/>
    </row>
    <row r="15" spans="1:50" x14ac:dyDescent="0.25">
      <c r="B15" s="1"/>
      <c r="C15" s="1"/>
      <c r="D15" s="1"/>
      <c r="E15" s="1"/>
    </row>
    <row r="16" spans="1:50" x14ac:dyDescent="0.25">
      <c r="B16" s="1"/>
      <c r="C16" s="1"/>
      <c r="D16" s="1"/>
      <c r="E16" s="1"/>
    </row>
    <row r="17" spans="2:5" x14ac:dyDescent="0.25">
      <c r="B17" s="1"/>
      <c r="C17" s="1"/>
      <c r="D17" s="1"/>
      <c r="E17" s="1"/>
    </row>
    <row r="18" spans="2:5" x14ac:dyDescent="0.25">
      <c r="B18" s="1"/>
      <c r="C18" s="1"/>
      <c r="D18" s="1"/>
      <c r="E18" s="1"/>
    </row>
    <row r="19" spans="2:5" x14ac:dyDescent="0.25">
      <c r="B19" s="1"/>
      <c r="C19" s="1"/>
      <c r="D19" s="1"/>
      <c r="E19" s="1"/>
    </row>
    <row r="20" spans="2:5" x14ac:dyDescent="0.25">
      <c r="B20" s="1"/>
      <c r="C20" s="1"/>
      <c r="D20" s="1"/>
      <c r="E20" s="1"/>
    </row>
  </sheetData>
  <mergeCells count="1">
    <mergeCell ref="A1:E1"/>
  </mergeCells>
  <dataValidations count="1">
    <dataValidation type="list" allowBlank="1" showInputMessage="1" showErrorMessage="1" sqref="E3:E1048576" xr:uid="{00000000-0002-0000-07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3D661A-8774-429F-94BD-F057EA21A9E4}">
          <x14:formula1>
            <xm:f>'Unidades de Medidas'!$B$3:$B$1048576</xm:f>
          </x14:formula1>
          <xm:sqref>D3:D8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2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153</v>
      </c>
      <c r="B1" s="55"/>
      <c r="C1" s="55"/>
    </row>
    <row r="2" spans="1:3" x14ac:dyDescent="0.25">
      <c r="A2" s="1" t="s">
        <v>1</v>
      </c>
      <c r="B2" s="1" t="s">
        <v>43</v>
      </c>
      <c r="C2" s="1" t="s">
        <v>2</v>
      </c>
    </row>
    <row r="3" spans="1:3" x14ac:dyDescent="0.25">
      <c r="A3" s="1">
        <v>1</v>
      </c>
      <c r="B3" s="1" t="s">
        <v>142</v>
      </c>
      <c r="C3" s="1"/>
    </row>
    <row r="4" spans="1:3" x14ac:dyDescent="0.25">
      <c r="A4" s="1">
        <v>2</v>
      </c>
      <c r="B4" s="1" t="s">
        <v>474</v>
      </c>
      <c r="C4" s="1"/>
    </row>
    <row r="5" spans="1:3" x14ac:dyDescent="0.25">
      <c r="A5" s="1">
        <v>3</v>
      </c>
      <c r="B5" s="1" t="s">
        <v>4</v>
      </c>
      <c r="C5" s="1"/>
    </row>
    <row r="6" spans="1:3" x14ac:dyDescent="0.25">
      <c r="A6" s="1">
        <v>4</v>
      </c>
      <c r="B6" s="1" t="s">
        <v>154</v>
      </c>
      <c r="C6" s="1"/>
    </row>
    <row r="7" spans="1:3" x14ac:dyDescent="0.25">
      <c r="A7" s="1">
        <v>5</v>
      </c>
      <c r="B7" s="1" t="s">
        <v>155</v>
      </c>
      <c r="C7" s="1"/>
    </row>
    <row r="8" spans="1:3" x14ac:dyDescent="0.25">
      <c r="A8" s="1">
        <v>6</v>
      </c>
      <c r="B8" s="1" t="s">
        <v>496</v>
      </c>
      <c r="C8" s="1"/>
    </row>
    <row r="9" spans="1:3" x14ac:dyDescent="0.25">
      <c r="A9" s="1">
        <v>7</v>
      </c>
      <c r="B9" s="1" t="s">
        <v>495</v>
      </c>
      <c r="C9" s="1"/>
    </row>
    <row r="10" spans="1:3" x14ac:dyDescent="0.25">
      <c r="A10" s="1">
        <v>8</v>
      </c>
      <c r="B10" s="1" t="s">
        <v>497</v>
      </c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6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4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11</v>
      </c>
      <c r="B1" s="55"/>
      <c r="C1" s="55"/>
    </row>
    <row r="2" spans="1:3" x14ac:dyDescent="0.25">
      <c r="A2" s="1" t="s">
        <v>1</v>
      </c>
      <c r="B2" s="1" t="s">
        <v>12</v>
      </c>
      <c r="C2" s="1" t="s">
        <v>2</v>
      </c>
    </row>
    <row r="3" spans="1:3" x14ac:dyDescent="0.25">
      <c r="A3" s="1">
        <v>1</v>
      </c>
      <c r="B3" s="1" t="s">
        <v>13</v>
      </c>
      <c r="C3" s="1"/>
    </row>
    <row r="4" spans="1:3" x14ac:dyDescent="0.25">
      <c r="B4" s="1"/>
      <c r="C4" s="1"/>
    </row>
    <row r="5" spans="1:3" x14ac:dyDescent="0.25">
      <c r="B5" s="1"/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disablePrompts="1" count="1">
    <dataValidation type="list" allowBlank="1" showInputMessage="1" showErrorMessage="1" sqref="C3:C1048576" xr:uid="{00000000-0002-0000-0E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3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5" width="9.140625" hidden="1" customWidth="1"/>
    <col min="6" max="6" width="21.7109375" hidden="1" customWidth="1"/>
    <col min="7" max="9" width="9.140625" hidden="1" customWidth="1"/>
    <col min="10" max="10" width="21.7109375" hidden="1" customWidth="1"/>
    <col min="11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14</v>
      </c>
      <c r="B1" s="55"/>
      <c r="C1" s="55"/>
    </row>
    <row r="2" spans="1:3" x14ac:dyDescent="0.25">
      <c r="A2" s="1" t="s">
        <v>1</v>
      </c>
      <c r="B2" s="1" t="s">
        <v>15</v>
      </c>
      <c r="C2" s="1" t="s">
        <v>2</v>
      </c>
    </row>
    <row r="3" spans="1:3" x14ac:dyDescent="0.25">
      <c r="A3" s="1">
        <v>1</v>
      </c>
      <c r="B3" s="14" t="s">
        <v>190</v>
      </c>
      <c r="C3" s="1"/>
    </row>
    <row r="4" spans="1:3" x14ac:dyDescent="0.25">
      <c r="A4" s="1">
        <v>3</v>
      </c>
      <c r="B4" s="14" t="s">
        <v>191</v>
      </c>
      <c r="C4" s="1"/>
    </row>
    <row r="5" spans="1:3" x14ac:dyDescent="0.25">
      <c r="A5" s="1">
        <v>4</v>
      </c>
      <c r="B5" s="14" t="s">
        <v>192</v>
      </c>
      <c r="C5" s="1"/>
    </row>
    <row r="6" spans="1:3" x14ac:dyDescent="0.25">
      <c r="A6" s="1">
        <v>6</v>
      </c>
      <c r="B6" s="14" t="s">
        <v>193</v>
      </c>
      <c r="C6" s="1"/>
    </row>
    <row r="7" spans="1:3" x14ac:dyDescent="0.25">
      <c r="A7" s="1">
        <v>7</v>
      </c>
      <c r="B7" s="14" t="s">
        <v>194</v>
      </c>
      <c r="C7" s="1"/>
    </row>
    <row r="8" spans="1:3" x14ac:dyDescent="0.25">
      <c r="A8" s="1">
        <v>8</v>
      </c>
      <c r="B8" s="14" t="s">
        <v>195</v>
      </c>
      <c r="C8" s="1"/>
    </row>
    <row r="9" spans="1:3" x14ac:dyDescent="0.25">
      <c r="A9" s="1">
        <v>9</v>
      </c>
      <c r="B9" s="14" t="s">
        <v>194</v>
      </c>
      <c r="C9" s="1"/>
    </row>
    <row r="10" spans="1:3" x14ac:dyDescent="0.25">
      <c r="A10" s="1">
        <v>10</v>
      </c>
      <c r="B10" s="14" t="s">
        <v>195</v>
      </c>
      <c r="C10" s="1"/>
    </row>
    <row r="11" spans="1:3" x14ac:dyDescent="0.25">
      <c r="A11" s="1">
        <v>11</v>
      </c>
      <c r="B11" s="14" t="s">
        <v>16</v>
      </c>
      <c r="C11" s="1"/>
    </row>
    <row r="12" spans="1:3" x14ac:dyDescent="0.25">
      <c r="A12" s="1">
        <v>12</v>
      </c>
      <c r="B12" s="14" t="s">
        <v>17</v>
      </c>
      <c r="C12" s="1"/>
    </row>
    <row r="13" spans="1:3" x14ac:dyDescent="0.25">
      <c r="A13" s="1">
        <v>17</v>
      </c>
      <c r="B13" s="14" t="s">
        <v>469</v>
      </c>
      <c r="C13" s="1"/>
    </row>
    <row r="14" spans="1:3" x14ac:dyDescent="0.25">
      <c r="A14" s="1">
        <v>18</v>
      </c>
      <c r="B14" s="14" t="s">
        <v>18</v>
      </c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F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6" filterMode="1"/>
  <dimension ref="A1:AA141"/>
  <sheetViews>
    <sheetView zoomScale="85" zoomScaleNormal="85" workbookViewId="0">
      <selection activeCell="A116" sqref="A116"/>
    </sheetView>
  </sheetViews>
  <sheetFormatPr defaultRowHeight="15" x14ac:dyDescent="0.25"/>
  <cols>
    <col min="1" max="1" width="23.140625" bestFit="1" customWidth="1"/>
    <col min="2" max="2" width="17.28515625" bestFit="1" customWidth="1"/>
    <col min="3" max="3" width="40.140625" bestFit="1" customWidth="1"/>
    <col min="4" max="4" width="40.7109375" bestFit="1" customWidth="1"/>
    <col min="5" max="5" width="25.140625" bestFit="1" customWidth="1"/>
    <col min="6" max="6" width="44.5703125" bestFit="1" customWidth="1"/>
    <col min="7" max="7" width="255.7109375" bestFit="1" customWidth="1"/>
    <col min="8" max="8" width="19.140625" bestFit="1" customWidth="1"/>
    <col min="9" max="9" width="3.5703125" bestFit="1" customWidth="1"/>
    <col min="10" max="10" width="11.5703125" bestFit="1" customWidth="1"/>
    <col min="11" max="12" width="18.5703125" bestFit="1" customWidth="1"/>
    <col min="13" max="13" width="17.5703125" bestFit="1" customWidth="1"/>
    <col min="14" max="15" width="16.28515625" bestFit="1" customWidth="1"/>
    <col min="16" max="16" width="30.28515625" bestFit="1" customWidth="1"/>
    <col min="17" max="17" width="37.5703125" bestFit="1" customWidth="1"/>
    <col min="18" max="18" width="40" bestFit="1" customWidth="1"/>
    <col min="19" max="19" width="35" bestFit="1" customWidth="1"/>
    <col min="20" max="20" width="42.28515625" bestFit="1" customWidth="1"/>
    <col min="21" max="21" width="38.5703125" bestFit="1" customWidth="1"/>
    <col min="22" max="22" width="44.5703125" bestFit="1" customWidth="1"/>
    <col min="23" max="23" width="44.28515625" bestFit="1" customWidth="1"/>
    <col min="24" max="24" width="40.140625" bestFit="1" customWidth="1"/>
    <col min="25" max="25" width="35.7109375" bestFit="1" customWidth="1"/>
    <col min="26" max="26" width="37.7109375" bestFit="1" customWidth="1"/>
    <col min="27" max="27" width="44.28515625" bestFit="1" customWidth="1"/>
  </cols>
  <sheetData>
    <row r="1" spans="1:17" x14ac:dyDescent="0.25">
      <c r="P1" t="s">
        <v>434</v>
      </c>
      <c r="Q1" t="s">
        <v>435</v>
      </c>
    </row>
    <row r="2" spans="1:17" x14ac:dyDescent="0.25">
      <c r="A2" t="s">
        <v>20</v>
      </c>
      <c r="B2" t="s">
        <v>201</v>
      </c>
      <c r="C2" t="s">
        <v>202</v>
      </c>
    </row>
    <row r="3" spans="1:17" hidden="1" x14ac:dyDescent="0.25">
      <c r="A3" t="s">
        <v>22</v>
      </c>
      <c r="B3" t="s">
        <v>203</v>
      </c>
      <c r="C3" t="str">
        <f>A3&amp;"."&amp;"["&amp;B3&amp;"]"</f>
        <v>Animais.[id]</v>
      </c>
      <c r="D3" t="str">
        <f>C3&amp;","</f>
        <v>Animais.[id],</v>
      </c>
      <c r="E3" t="str">
        <f>UPPER(A3)</f>
        <v>ANIMAIS</v>
      </c>
      <c r="F3" t="str">
        <f>UPPER(D3)</f>
        <v>ANIMAIS.[ID],</v>
      </c>
    </row>
    <row r="4" spans="1:17" hidden="1" x14ac:dyDescent="0.25">
      <c r="A4" t="s">
        <v>22</v>
      </c>
      <c r="B4" t="s">
        <v>204</v>
      </c>
      <c r="C4" t="str">
        <f t="shared" ref="C4:C67" si="0">A4&amp;"."&amp;"["&amp;B4&amp;"]"</f>
        <v>Animais.[numBrinco]</v>
      </c>
      <c r="D4" t="str">
        <f t="shared" ref="D4:D67" si="1">C4&amp;","</f>
        <v>Animais.[numBrinco],</v>
      </c>
      <c r="E4" t="str">
        <f t="shared" ref="E4:E67" si="2">UPPER(A4)</f>
        <v>ANIMAIS</v>
      </c>
      <c r="F4" t="str">
        <f t="shared" ref="F4:F67" si="3">UPPER(D4)</f>
        <v>ANIMAIS.[NUMBRINCO],</v>
      </c>
    </row>
    <row r="5" spans="1:17" hidden="1" x14ac:dyDescent="0.25">
      <c r="A5" t="s">
        <v>22</v>
      </c>
      <c r="B5" t="s">
        <v>205</v>
      </c>
      <c r="C5" t="str">
        <f t="shared" si="0"/>
        <v>Animais.[desLote]</v>
      </c>
      <c r="D5" t="str">
        <f t="shared" si="1"/>
        <v>Animais.[desLote],</v>
      </c>
      <c r="E5" t="str">
        <f t="shared" si="2"/>
        <v>ANIMAIS</v>
      </c>
      <c r="F5" t="str">
        <f t="shared" si="3"/>
        <v>ANIMAIS.[DESLOTE],</v>
      </c>
    </row>
    <row r="6" spans="1:17" hidden="1" x14ac:dyDescent="0.25">
      <c r="A6" t="s">
        <v>22</v>
      </c>
      <c r="B6" t="s">
        <v>206</v>
      </c>
      <c r="C6" t="str">
        <f t="shared" si="0"/>
        <v>Animais.[idStatus]</v>
      </c>
      <c r="D6" t="str">
        <f t="shared" si="1"/>
        <v>Animais.[idStatus],</v>
      </c>
      <c r="E6" t="str">
        <f t="shared" si="2"/>
        <v>ANIMAIS</v>
      </c>
      <c r="F6" t="str">
        <f t="shared" si="3"/>
        <v>ANIMAIS.[IDSTATUS],</v>
      </c>
      <c r="G6" t="s">
        <v>271</v>
      </c>
    </row>
    <row r="7" spans="1:17" hidden="1" x14ac:dyDescent="0.25">
      <c r="A7" t="s">
        <v>22</v>
      </c>
      <c r="B7" t="s">
        <v>207</v>
      </c>
      <c r="C7" t="str">
        <f t="shared" si="0"/>
        <v>Animais.[idPasto]</v>
      </c>
      <c r="D7" t="str">
        <f t="shared" si="1"/>
        <v>Animais.[idPasto],</v>
      </c>
      <c r="E7" t="str">
        <f t="shared" si="2"/>
        <v>ANIMAIS</v>
      </c>
      <c r="F7" t="str">
        <f t="shared" si="3"/>
        <v>ANIMAIS.[IDPASTO],</v>
      </c>
      <c r="G7" t="s">
        <v>271</v>
      </c>
    </row>
    <row r="8" spans="1:17" hidden="1" x14ac:dyDescent="0.25">
      <c r="A8" t="s">
        <v>22</v>
      </c>
      <c r="B8" t="s">
        <v>208</v>
      </c>
      <c r="C8" t="str">
        <f t="shared" si="0"/>
        <v>Animais.[idTipo]</v>
      </c>
      <c r="D8" t="str">
        <f t="shared" si="1"/>
        <v>Animais.[idTipo],</v>
      </c>
      <c r="E8" t="str">
        <f t="shared" si="2"/>
        <v>ANIMAIS</v>
      </c>
      <c r="F8" t="str">
        <f t="shared" si="3"/>
        <v>ANIMAIS.[IDTIPO],</v>
      </c>
      <c r="G8" t="s">
        <v>271</v>
      </c>
    </row>
    <row r="9" spans="1:17" hidden="1" x14ac:dyDescent="0.25">
      <c r="A9" t="s">
        <v>22</v>
      </c>
      <c r="B9" t="s">
        <v>209</v>
      </c>
      <c r="C9" t="str">
        <f t="shared" si="0"/>
        <v>Animais.[desSexo]</v>
      </c>
      <c r="D9" t="str">
        <f t="shared" si="1"/>
        <v>Animais.[desSexo],</v>
      </c>
      <c r="E9" t="str">
        <f t="shared" si="2"/>
        <v>ANIMAIS</v>
      </c>
      <c r="F9" t="str">
        <f t="shared" si="3"/>
        <v>ANIMAIS.[DESSEXO],</v>
      </c>
    </row>
    <row r="10" spans="1:17" hidden="1" x14ac:dyDescent="0.25">
      <c r="A10" t="s">
        <v>22</v>
      </c>
      <c r="B10" t="s">
        <v>210</v>
      </c>
      <c r="C10" t="str">
        <f t="shared" si="0"/>
        <v>Animais.[idRaca]</v>
      </c>
      <c r="D10" t="str">
        <f t="shared" si="1"/>
        <v>Animais.[idRaca],</v>
      </c>
      <c r="E10" t="str">
        <f t="shared" si="2"/>
        <v>ANIMAIS</v>
      </c>
      <c r="F10" t="str">
        <f t="shared" si="3"/>
        <v>ANIMAIS.[IDRACA],</v>
      </c>
      <c r="G10" t="s">
        <v>271</v>
      </c>
    </row>
    <row r="11" spans="1:17" hidden="1" x14ac:dyDescent="0.25">
      <c r="A11" t="s">
        <v>22</v>
      </c>
      <c r="B11" t="s">
        <v>211</v>
      </c>
      <c r="C11" t="str">
        <f t="shared" si="0"/>
        <v>Animais.[dtDesmama]</v>
      </c>
      <c r="D11" t="str">
        <f t="shared" si="1"/>
        <v>Animais.[dtDesmama],</v>
      </c>
      <c r="E11" t="str">
        <f t="shared" si="2"/>
        <v>ANIMAIS</v>
      </c>
      <c r="F11" t="str">
        <f t="shared" si="3"/>
        <v>ANIMAIS.[DTDESMAMA],</v>
      </c>
    </row>
    <row r="12" spans="1:17" hidden="1" x14ac:dyDescent="0.25">
      <c r="A12" t="s">
        <v>22</v>
      </c>
      <c r="B12" t="s">
        <v>212</v>
      </c>
      <c r="C12" t="str">
        <f t="shared" si="0"/>
        <v>Animais.[idOrigem]</v>
      </c>
      <c r="D12" t="str">
        <f t="shared" si="1"/>
        <v>Animais.[idOrigem],</v>
      </c>
      <c r="E12" t="str">
        <f t="shared" si="2"/>
        <v>ANIMAIS</v>
      </c>
      <c r="F12" t="str">
        <f t="shared" si="3"/>
        <v>ANIMAIS.[IDORIGEM],</v>
      </c>
      <c r="G12" t="s">
        <v>271</v>
      </c>
    </row>
    <row r="13" spans="1:17" hidden="1" x14ac:dyDescent="0.25">
      <c r="A13" t="s">
        <v>22</v>
      </c>
      <c r="B13" t="s">
        <v>213</v>
      </c>
      <c r="C13" t="str">
        <f t="shared" si="0"/>
        <v>Animais.[dtCompra]</v>
      </c>
      <c r="D13" t="str">
        <f t="shared" si="1"/>
        <v>Animais.[dtCompra],</v>
      </c>
      <c r="E13" t="str">
        <f t="shared" si="2"/>
        <v>ANIMAIS</v>
      </c>
      <c r="F13" t="str">
        <f t="shared" si="3"/>
        <v>ANIMAIS.[DTCOMPRA],</v>
      </c>
    </row>
    <row r="14" spans="1:17" hidden="1" x14ac:dyDescent="0.25">
      <c r="A14" t="s">
        <v>22</v>
      </c>
      <c r="B14" t="s">
        <v>214</v>
      </c>
      <c r="C14" t="str">
        <f t="shared" si="0"/>
        <v>Animais.[dtNascimento]</v>
      </c>
      <c r="D14" t="str">
        <f t="shared" si="1"/>
        <v>Animais.[dtNascimento],</v>
      </c>
      <c r="E14" t="str">
        <f t="shared" si="2"/>
        <v>ANIMAIS</v>
      </c>
      <c r="F14" t="str">
        <f t="shared" si="3"/>
        <v>ANIMAIS.[DTNASCIMENTO],</v>
      </c>
    </row>
    <row r="15" spans="1:17" hidden="1" x14ac:dyDescent="0.25">
      <c r="A15" t="s">
        <v>22</v>
      </c>
      <c r="B15" t="s">
        <v>215</v>
      </c>
      <c r="C15" t="str">
        <f t="shared" si="0"/>
        <v>Animais.[numPesoInicial]</v>
      </c>
      <c r="D15" t="str">
        <f t="shared" si="1"/>
        <v>Animais.[numPesoInicial],</v>
      </c>
      <c r="E15" t="str">
        <f t="shared" si="2"/>
        <v>ANIMAIS</v>
      </c>
      <c r="F15" t="str">
        <f t="shared" si="3"/>
        <v>ANIMAIS.[NUMPESOINICIAL],</v>
      </c>
    </row>
    <row r="16" spans="1:17" hidden="1" x14ac:dyDescent="0.25">
      <c r="A16" t="s">
        <v>22</v>
      </c>
      <c r="B16" t="s">
        <v>216</v>
      </c>
      <c r="C16" t="str">
        <f t="shared" si="0"/>
        <v>Animais.[desDescricao]</v>
      </c>
      <c r="D16" t="str">
        <f t="shared" si="1"/>
        <v>Animais.[desDescricao],</v>
      </c>
      <c r="E16" t="str">
        <f t="shared" si="2"/>
        <v>ANIMAIS</v>
      </c>
      <c r="F16" t="str">
        <f t="shared" si="3"/>
        <v>ANIMAIS.[DESDESCRICAO],</v>
      </c>
    </row>
    <row r="17" spans="1:7" hidden="1" x14ac:dyDescent="0.25">
      <c r="A17" t="s">
        <v>22</v>
      </c>
      <c r="B17" t="s">
        <v>217</v>
      </c>
      <c r="C17" t="str">
        <f t="shared" si="0"/>
        <v>Animais.[numBrincoPai]</v>
      </c>
      <c r="D17" t="str">
        <f t="shared" si="1"/>
        <v>Animais.[numBrincoPai],</v>
      </c>
      <c r="E17" t="str">
        <f t="shared" si="2"/>
        <v>ANIMAIS</v>
      </c>
      <c r="F17" t="str">
        <f t="shared" si="3"/>
        <v>ANIMAIS.[NUMBRINCOPAI],</v>
      </c>
    </row>
    <row r="18" spans="1:7" hidden="1" x14ac:dyDescent="0.25">
      <c r="A18" t="s">
        <v>22</v>
      </c>
      <c r="B18" t="s">
        <v>218</v>
      </c>
      <c r="C18" t="str">
        <f t="shared" si="0"/>
        <v>Animais.[numBrincoMae]</v>
      </c>
      <c r="D18" t="str">
        <f t="shared" si="1"/>
        <v>Animais.[numBrincoMae],</v>
      </c>
      <c r="E18" t="str">
        <f t="shared" si="2"/>
        <v>ANIMAIS</v>
      </c>
      <c r="F18" t="str">
        <f t="shared" si="3"/>
        <v>ANIMAIS.[NUMBRINCOMAE],</v>
      </c>
    </row>
    <row r="19" spans="1:7" hidden="1" x14ac:dyDescent="0.25">
      <c r="A19" t="s">
        <v>22</v>
      </c>
      <c r="B19" t="s">
        <v>219</v>
      </c>
      <c r="C19" t="str">
        <f t="shared" si="0"/>
        <v>Animais.[dtDataEntrada]</v>
      </c>
      <c r="D19" t="str">
        <f t="shared" si="1"/>
        <v>Animais.[dtDataEntrada],</v>
      </c>
      <c r="E19" t="str">
        <f t="shared" si="2"/>
        <v>ANIMAIS</v>
      </c>
      <c r="F19" t="str">
        <f t="shared" si="3"/>
        <v>ANIMAIS.[DTDATAENTRADA],</v>
      </c>
    </row>
    <row r="20" spans="1:7" hidden="1" x14ac:dyDescent="0.25">
      <c r="A20" t="s">
        <v>22</v>
      </c>
      <c r="B20" t="s">
        <v>220</v>
      </c>
      <c r="C20" t="str">
        <f t="shared" si="0"/>
        <v>Animais.[desObservacoes]</v>
      </c>
      <c r="D20" t="str">
        <f t="shared" si="1"/>
        <v>Animais.[desObservacoes],</v>
      </c>
      <c r="E20" t="str">
        <f t="shared" si="2"/>
        <v>ANIMAIS</v>
      </c>
      <c r="F20" t="str">
        <f t="shared" si="3"/>
        <v>ANIMAIS.[DESOBSERVACOES],</v>
      </c>
    </row>
    <row r="21" spans="1:7" hidden="1" x14ac:dyDescent="0.25">
      <c r="A21" t="s">
        <v>22</v>
      </c>
      <c r="B21" t="s">
        <v>221</v>
      </c>
      <c r="C21" t="str">
        <f t="shared" si="0"/>
        <v>Animais.[dtMorte]</v>
      </c>
      <c r="D21" t="str">
        <f t="shared" si="1"/>
        <v>Animais.[dtMorte],</v>
      </c>
      <c r="E21" t="str">
        <f t="shared" si="2"/>
        <v>ANIMAIS</v>
      </c>
      <c r="F21" t="str">
        <f t="shared" si="3"/>
        <v>ANIMAIS.[DTMORTE],</v>
      </c>
    </row>
    <row r="22" spans="1:7" hidden="1" x14ac:dyDescent="0.25">
      <c r="A22" t="s">
        <v>22</v>
      </c>
      <c r="B22" t="s">
        <v>222</v>
      </c>
      <c r="C22" t="str">
        <f t="shared" si="0"/>
        <v>Animais.[idCausaMorte]</v>
      </c>
      <c r="D22" t="str">
        <f t="shared" si="1"/>
        <v>Animais.[idCausaMorte],</v>
      </c>
      <c r="E22" t="str">
        <f t="shared" si="2"/>
        <v>ANIMAIS</v>
      </c>
      <c r="F22" t="str">
        <f t="shared" si="3"/>
        <v>ANIMAIS.[IDCAUSAMORTE],</v>
      </c>
      <c r="G22" t="s">
        <v>271</v>
      </c>
    </row>
    <row r="23" spans="1:7" hidden="1" x14ac:dyDescent="0.25">
      <c r="A23" t="s">
        <v>22</v>
      </c>
      <c r="B23" t="s">
        <v>223</v>
      </c>
      <c r="C23" t="str">
        <f t="shared" si="0"/>
        <v>Animais.[numEID]</v>
      </c>
      <c r="D23" t="str">
        <f t="shared" si="1"/>
        <v>Animais.[numEID],</v>
      </c>
      <c r="E23" t="str">
        <f t="shared" si="2"/>
        <v>ANIMAIS</v>
      </c>
      <c r="F23" t="str">
        <f t="shared" si="3"/>
        <v>ANIMAIS.[NUMEID],</v>
      </c>
    </row>
    <row r="24" spans="1:7" hidden="1" x14ac:dyDescent="0.25">
      <c r="A24" t="s">
        <v>25</v>
      </c>
      <c r="B24" t="s">
        <v>203</v>
      </c>
      <c r="C24" t="str">
        <f t="shared" si="0"/>
        <v>AplicacaoMedicamento.[id]</v>
      </c>
      <c r="D24" t="str">
        <f t="shared" si="1"/>
        <v>AplicacaoMedicamento.[id],</v>
      </c>
      <c r="E24" t="str">
        <f t="shared" si="2"/>
        <v>APLICACAOMEDICAMENTO</v>
      </c>
      <c r="F24" t="str">
        <f t="shared" si="3"/>
        <v>APLICACAOMEDICAMENTO.[ID],</v>
      </c>
    </row>
    <row r="25" spans="1:7" hidden="1" x14ac:dyDescent="0.25">
      <c r="A25" t="s">
        <v>25</v>
      </c>
      <c r="B25" t="s">
        <v>224</v>
      </c>
      <c r="C25" t="str">
        <f t="shared" si="0"/>
        <v>AplicacaoMedicamento.[idAnimal]</v>
      </c>
      <c r="D25" t="str">
        <f t="shared" si="1"/>
        <v>AplicacaoMedicamento.[idAnimal],</v>
      </c>
      <c r="E25" t="str">
        <f t="shared" si="2"/>
        <v>APLICACAOMEDICAMENTO</v>
      </c>
      <c r="F25" t="str">
        <f t="shared" si="3"/>
        <v>APLICACAOMEDICAMENTO.[IDANIMAL],</v>
      </c>
    </row>
    <row r="26" spans="1:7" hidden="1" x14ac:dyDescent="0.25">
      <c r="A26" t="s">
        <v>25</v>
      </c>
      <c r="B26" t="s">
        <v>130</v>
      </c>
      <c r="C26" t="str">
        <f t="shared" si="0"/>
        <v>AplicacaoMedicamento.[desStatus]</v>
      </c>
      <c r="D26" t="str">
        <f t="shared" si="1"/>
        <v>AplicacaoMedicamento.[desStatus],</v>
      </c>
      <c r="E26" t="str">
        <f t="shared" si="2"/>
        <v>APLICACAOMEDICAMENTO</v>
      </c>
      <c r="F26" t="str">
        <f t="shared" si="3"/>
        <v>APLICACAOMEDICAMENTO.[DESSTATUS],</v>
      </c>
    </row>
    <row r="27" spans="1:7" hidden="1" x14ac:dyDescent="0.25">
      <c r="A27" t="s">
        <v>25</v>
      </c>
      <c r="B27" t="s">
        <v>225</v>
      </c>
      <c r="C27" t="str">
        <f t="shared" si="0"/>
        <v>AplicacaoMedicamento.[idSanidade]</v>
      </c>
      <c r="D27" t="str">
        <f t="shared" si="1"/>
        <v>AplicacaoMedicamento.[idSanidade],</v>
      </c>
      <c r="E27" t="str">
        <f t="shared" si="2"/>
        <v>APLICACAOMEDICAMENTO</v>
      </c>
      <c r="F27" t="str">
        <f t="shared" si="3"/>
        <v>APLICACAOMEDICAMENTO.[IDSANIDADE],</v>
      </c>
    </row>
    <row r="28" spans="1:7" hidden="1" x14ac:dyDescent="0.25">
      <c r="A28" t="s">
        <v>25</v>
      </c>
      <c r="B28" t="s">
        <v>226</v>
      </c>
      <c r="C28" t="str">
        <f t="shared" si="0"/>
        <v>AplicacaoMedicamento.[idMedicamento]</v>
      </c>
      <c r="D28" t="str">
        <f t="shared" si="1"/>
        <v>AplicacaoMedicamento.[idMedicamento],</v>
      </c>
      <c r="E28" t="str">
        <f t="shared" si="2"/>
        <v>APLICACAOMEDICAMENTO</v>
      </c>
      <c r="F28" t="str">
        <f t="shared" si="3"/>
        <v>APLICACAOMEDICAMENTO.[IDMEDICAMENTO],</v>
      </c>
    </row>
    <row r="29" spans="1:7" hidden="1" x14ac:dyDescent="0.25">
      <c r="A29" t="s">
        <v>25</v>
      </c>
      <c r="B29" t="s">
        <v>227</v>
      </c>
      <c r="C29" t="str">
        <f t="shared" si="0"/>
        <v>AplicacaoMedicamento.[desUnidade]</v>
      </c>
      <c r="D29" t="str">
        <f t="shared" si="1"/>
        <v>AplicacaoMedicamento.[desUnidade],</v>
      </c>
      <c r="E29" t="str">
        <f t="shared" si="2"/>
        <v>APLICACAOMEDICAMENTO</v>
      </c>
      <c r="F29" t="str">
        <f t="shared" si="3"/>
        <v>APLICACAOMEDICAMENTO.[DESUNIDADE],</v>
      </c>
    </row>
    <row r="30" spans="1:7" hidden="1" x14ac:dyDescent="0.25">
      <c r="A30" t="s">
        <v>25</v>
      </c>
      <c r="B30" t="s">
        <v>228</v>
      </c>
      <c r="C30" t="str">
        <f t="shared" si="0"/>
        <v>AplicacaoMedicamento.[dtData]</v>
      </c>
      <c r="D30" t="str">
        <f t="shared" si="1"/>
        <v>AplicacaoMedicamento.[dtData],</v>
      </c>
      <c r="E30" t="str">
        <f t="shared" si="2"/>
        <v>APLICACAOMEDICAMENTO</v>
      </c>
      <c r="F30" t="str">
        <f t="shared" si="3"/>
        <v>APLICACAOMEDICAMENTO.[DTDATA],</v>
      </c>
    </row>
    <row r="31" spans="1:7" hidden="1" x14ac:dyDescent="0.25">
      <c r="A31" t="s">
        <v>25</v>
      </c>
      <c r="B31" t="s">
        <v>229</v>
      </c>
      <c r="C31" t="str">
        <f t="shared" si="0"/>
        <v>AplicacaoMedicamento.[numQtde]</v>
      </c>
      <c r="D31" t="str">
        <f t="shared" si="1"/>
        <v>AplicacaoMedicamento.[numQtde],</v>
      </c>
      <c r="E31" t="str">
        <f t="shared" si="2"/>
        <v>APLICACAOMEDICAMENTO</v>
      </c>
      <c r="F31" t="str">
        <f t="shared" si="3"/>
        <v>APLICACAOMEDICAMENTO.[NUMQTDE],</v>
      </c>
    </row>
    <row r="32" spans="1:7" hidden="1" x14ac:dyDescent="0.25">
      <c r="A32" t="s">
        <v>25</v>
      </c>
      <c r="B32" t="s">
        <v>230</v>
      </c>
      <c r="C32" t="str">
        <f t="shared" si="0"/>
        <v>AplicacaoMedicamento.[desObservacao]</v>
      </c>
      <c r="D32" t="str">
        <f t="shared" si="1"/>
        <v>AplicacaoMedicamento.[desObservacao],</v>
      </c>
      <c r="E32" t="str">
        <f t="shared" si="2"/>
        <v>APLICACAOMEDICAMENTO</v>
      </c>
      <c r="F32" t="str">
        <f t="shared" si="3"/>
        <v>APLICACAOMEDICAMENTO.[DESOBSERVACAO],</v>
      </c>
    </row>
    <row r="33" spans="1:15" hidden="1" x14ac:dyDescent="0.25">
      <c r="A33" t="s">
        <v>40</v>
      </c>
      <c r="B33" t="s">
        <v>203</v>
      </c>
      <c r="C33" t="str">
        <f t="shared" si="0"/>
        <v>CausaMorte.[id]</v>
      </c>
      <c r="D33" t="str">
        <f t="shared" si="1"/>
        <v>CausaMorte.[id],</v>
      </c>
      <c r="E33" t="str">
        <f t="shared" si="2"/>
        <v>CAUSAMORTE</v>
      </c>
      <c r="F33" t="str">
        <f t="shared" si="3"/>
        <v>CAUSAMORTE.[ID],</v>
      </c>
    </row>
    <row r="34" spans="1:15" hidden="1" x14ac:dyDescent="0.25">
      <c r="A34" t="s">
        <v>40</v>
      </c>
      <c r="B34" t="s">
        <v>231</v>
      </c>
      <c r="C34" t="str">
        <f t="shared" si="0"/>
        <v>CausaMorte.[desCausaMorte]</v>
      </c>
      <c r="D34" t="str">
        <f t="shared" si="1"/>
        <v>CausaMorte.[desCausaMorte],</v>
      </c>
      <c r="E34" t="str">
        <f t="shared" si="2"/>
        <v>CAUSAMORTE</v>
      </c>
      <c r="F34" t="str">
        <f t="shared" si="3"/>
        <v>CAUSAMORTE.[DESCAUSAMORTE],</v>
      </c>
    </row>
    <row r="35" spans="1:15" hidden="1" x14ac:dyDescent="0.25">
      <c r="A35" t="s">
        <v>27</v>
      </c>
      <c r="B35" t="s">
        <v>203</v>
      </c>
      <c r="C35" t="str">
        <f t="shared" si="0"/>
        <v>Cliente.[id]</v>
      </c>
      <c r="D35" t="str">
        <f t="shared" si="1"/>
        <v>Cliente.[id],</v>
      </c>
      <c r="E35" t="str">
        <f t="shared" si="2"/>
        <v>CLIENTE</v>
      </c>
      <c r="F35" t="str">
        <f t="shared" si="3"/>
        <v>CLIENTE.[ID],</v>
      </c>
      <c r="H35" s="34" t="s">
        <v>1</v>
      </c>
      <c r="I35">
        <v>1</v>
      </c>
      <c r="K35" t="s">
        <v>411</v>
      </c>
      <c r="L35" t="s">
        <v>412</v>
      </c>
      <c r="M35" t="s">
        <v>413</v>
      </c>
      <c r="N35" t="str">
        <f>B35&amp;", "</f>
        <v xml:space="preserve">id, </v>
      </c>
      <c r="O35" t="s">
        <v>422</v>
      </c>
    </row>
    <row r="36" spans="1:15" ht="15.75" hidden="1" thickBot="1" x14ac:dyDescent="0.3">
      <c r="A36" t="s">
        <v>27</v>
      </c>
      <c r="B36" t="s">
        <v>232</v>
      </c>
      <c r="C36" t="str">
        <f t="shared" si="0"/>
        <v>Cliente.[desNome]</v>
      </c>
      <c r="D36" t="str">
        <f t="shared" si="1"/>
        <v>Cliente.[desNome],</v>
      </c>
      <c r="E36" t="str">
        <f t="shared" si="2"/>
        <v>CLIENTE</v>
      </c>
      <c r="F36" t="str">
        <f t="shared" si="3"/>
        <v>CLIENTE.[DESNOME],</v>
      </c>
      <c r="H36" s="35" t="s">
        <v>386</v>
      </c>
      <c r="I36">
        <v>2</v>
      </c>
      <c r="K36" t="str">
        <f>"Cells(iCliente, "&amp;I36&amp;"), "</f>
        <v xml:space="preserve">Cells(iCliente, 2), </v>
      </c>
      <c r="L36" t="s">
        <v>411</v>
      </c>
      <c r="N36" t="str">
        <f t="shared" ref="N36:N46" si="4">B36&amp;", "</f>
        <v xml:space="preserve">desNome, </v>
      </c>
      <c r="O36" t="s">
        <v>423</v>
      </c>
    </row>
    <row r="37" spans="1:15" ht="15.75" hidden="1" thickBot="1" x14ac:dyDescent="0.3">
      <c r="A37" t="s">
        <v>27</v>
      </c>
      <c r="B37" t="s">
        <v>233</v>
      </c>
      <c r="C37" t="str">
        <f t="shared" si="0"/>
        <v>Cliente.[numCPFCNPJ]</v>
      </c>
      <c r="D37" t="str">
        <f t="shared" si="1"/>
        <v>Cliente.[numCPFCNPJ],</v>
      </c>
      <c r="E37" t="str">
        <f t="shared" si="2"/>
        <v>CLIENTE</v>
      </c>
      <c r="F37" t="str">
        <f t="shared" si="3"/>
        <v>CLIENTE.[NUMCPFCNPJ],</v>
      </c>
      <c r="H37" s="35" t="s">
        <v>387</v>
      </c>
      <c r="I37">
        <v>3</v>
      </c>
      <c r="K37" t="str">
        <f t="shared" ref="K37:K46" si="5">"Cells(iCliente, "&amp;I37&amp;"), "</f>
        <v xml:space="preserve">Cells(iCliente, 3), </v>
      </c>
      <c r="L37" t="s">
        <v>412</v>
      </c>
      <c r="N37" t="str">
        <f t="shared" si="4"/>
        <v xml:space="preserve">numCPFCNPJ, </v>
      </c>
      <c r="O37" t="s">
        <v>424</v>
      </c>
    </row>
    <row r="38" spans="1:15" ht="15.75" hidden="1" thickBot="1" x14ac:dyDescent="0.3">
      <c r="A38" t="s">
        <v>27</v>
      </c>
      <c r="B38" t="s">
        <v>234</v>
      </c>
      <c r="C38" t="str">
        <f t="shared" si="0"/>
        <v>Cliente.[desEmail]</v>
      </c>
      <c r="D38" t="str">
        <f t="shared" si="1"/>
        <v>Cliente.[desEmail],</v>
      </c>
      <c r="E38" t="str">
        <f t="shared" si="2"/>
        <v>CLIENTE</v>
      </c>
      <c r="F38" t="str">
        <f t="shared" si="3"/>
        <v>CLIENTE.[DESEMAIL],</v>
      </c>
      <c r="H38" s="35" t="s">
        <v>401</v>
      </c>
      <c r="I38">
        <v>4</v>
      </c>
      <c r="K38" t="str">
        <f t="shared" si="5"/>
        <v xml:space="preserve">Cells(iCliente, 4), </v>
      </c>
      <c r="L38" t="s">
        <v>413</v>
      </c>
      <c r="N38" t="str">
        <f t="shared" si="4"/>
        <v xml:space="preserve">desEmail, </v>
      </c>
      <c r="O38" t="s">
        <v>425</v>
      </c>
    </row>
    <row r="39" spans="1:15" ht="15.75" hidden="1" thickBot="1" x14ac:dyDescent="0.3">
      <c r="A39" t="s">
        <v>27</v>
      </c>
      <c r="B39" t="s">
        <v>235</v>
      </c>
      <c r="C39" t="str">
        <f t="shared" si="0"/>
        <v>Cliente.[desUF]</v>
      </c>
      <c r="D39" t="str">
        <f t="shared" si="1"/>
        <v>Cliente.[desUF],</v>
      </c>
      <c r="E39" t="str">
        <f t="shared" si="2"/>
        <v>CLIENTE</v>
      </c>
      <c r="F39" t="str">
        <f t="shared" si="3"/>
        <v>CLIENTE.[DESUF],</v>
      </c>
      <c r="H39" s="35" t="s">
        <v>388</v>
      </c>
      <c r="I39">
        <v>5</v>
      </c>
      <c r="K39" t="str">
        <f t="shared" si="5"/>
        <v xml:space="preserve">Cells(iCliente, 5), </v>
      </c>
      <c r="L39" t="s">
        <v>414</v>
      </c>
      <c r="N39" t="str">
        <f t="shared" si="4"/>
        <v xml:space="preserve">desUF, </v>
      </c>
      <c r="O39" t="s">
        <v>426</v>
      </c>
    </row>
    <row r="40" spans="1:15" ht="15.75" hidden="1" thickBot="1" x14ac:dyDescent="0.3">
      <c r="A40" t="s">
        <v>27</v>
      </c>
      <c r="B40" t="s">
        <v>236</v>
      </c>
      <c r="C40" t="str">
        <f t="shared" si="0"/>
        <v>Cliente.[desCidade]</v>
      </c>
      <c r="D40" t="str">
        <f t="shared" si="1"/>
        <v>Cliente.[desCidade],</v>
      </c>
      <c r="E40" t="str">
        <f t="shared" si="2"/>
        <v>CLIENTE</v>
      </c>
      <c r="F40" t="str">
        <f t="shared" si="3"/>
        <v>CLIENTE.[DESCIDADE],</v>
      </c>
      <c r="H40" s="35" t="s">
        <v>389</v>
      </c>
      <c r="I40">
        <v>6</v>
      </c>
      <c r="K40" t="str">
        <f t="shared" si="5"/>
        <v xml:space="preserve">Cells(iCliente, 6), </v>
      </c>
      <c r="L40" t="s">
        <v>415</v>
      </c>
      <c r="N40" t="str">
        <f t="shared" si="4"/>
        <v xml:space="preserve">desCidade, </v>
      </c>
      <c r="O40" t="s">
        <v>427</v>
      </c>
    </row>
    <row r="41" spans="1:15" ht="15.75" hidden="1" thickBot="1" x14ac:dyDescent="0.3">
      <c r="A41" t="s">
        <v>27</v>
      </c>
      <c r="B41" t="s">
        <v>237</v>
      </c>
      <c r="C41" t="str">
        <f t="shared" si="0"/>
        <v>Cliente.[desBairro]</v>
      </c>
      <c r="D41" t="str">
        <f t="shared" si="1"/>
        <v>Cliente.[desBairro],</v>
      </c>
      <c r="E41" t="str">
        <f t="shared" si="2"/>
        <v>CLIENTE</v>
      </c>
      <c r="F41" t="str">
        <f t="shared" si="3"/>
        <v>CLIENTE.[DESBAIRRO],</v>
      </c>
      <c r="H41" s="35" t="s">
        <v>390</v>
      </c>
      <c r="I41">
        <v>7</v>
      </c>
      <c r="K41" t="str">
        <f t="shared" si="5"/>
        <v xml:space="preserve">Cells(iCliente, 7), </v>
      </c>
      <c r="L41" t="s">
        <v>416</v>
      </c>
      <c r="N41" t="str">
        <f t="shared" si="4"/>
        <v xml:space="preserve">desBairro, </v>
      </c>
      <c r="O41" t="s">
        <v>428</v>
      </c>
    </row>
    <row r="42" spans="1:15" ht="15.75" hidden="1" thickBot="1" x14ac:dyDescent="0.3">
      <c r="A42" t="s">
        <v>27</v>
      </c>
      <c r="B42" t="s">
        <v>238</v>
      </c>
      <c r="C42" t="str">
        <f t="shared" si="0"/>
        <v>Cliente.[desCEP]</v>
      </c>
      <c r="D42" t="str">
        <f t="shared" si="1"/>
        <v>Cliente.[desCEP],</v>
      </c>
      <c r="E42" t="str">
        <f t="shared" si="2"/>
        <v>CLIENTE</v>
      </c>
      <c r="F42" t="str">
        <f t="shared" si="3"/>
        <v>CLIENTE.[DESCEP],</v>
      </c>
      <c r="H42" s="35" t="s">
        <v>391</v>
      </c>
      <c r="I42">
        <v>8</v>
      </c>
      <c r="K42" t="str">
        <f t="shared" si="5"/>
        <v xml:space="preserve">Cells(iCliente, 8), </v>
      </c>
      <c r="L42" t="s">
        <v>417</v>
      </c>
      <c r="N42" t="str">
        <f t="shared" si="4"/>
        <v xml:space="preserve">desCEP, </v>
      </c>
      <c r="O42" t="s">
        <v>429</v>
      </c>
    </row>
    <row r="43" spans="1:15" ht="15.75" hidden="1" thickBot="1" x14ac:dyDescent="0.3">
      <c r="A43" t="s">
        <v>27</v>
      </c>
      <c r="B43" t="s">
        <v>239</v>
      </c>
      <c r="C43" t="str">
        <f t="shared" si="0"/>
        <v>Cliente.[desEndereco]</v>
      </c>
      <c r="D43" t="str">
        <f t="shared" si="1"/>
        <v>Cliente.[desEndereco],</v>
      </c>
      <c r="E43" t="str">
        <f t="shared" si="2"/>
        <v>CLIENTE</v>
      </c>
      <c r="F43" t="str">
        <f t="shared" si="3"/>
        <v>CLIENTE.[DESENDERECO],</v>
      </c>
      <c r="H43" s="35" t="s">
        <v>392</v>
      </c>
      <c r="I43">
        <v>9</v>
      </c>
      <c r="K43" t="str">
        <f t="shared" si="5"/>
        <v xml:space="preserve">Cells(iCliente, 9), </v>
      </c>
      <c r="L43" t="s">
        <v>418</v>
      </c>
      <c r="N43" t="str">
        <f t="shared" si="4"/>
        <v xml:space="preserve">desEndereco, </v>
      </c>
      <c r="O43" t="s">
        <v>430</v>
      </c>
    </row>
    <row r="44" spans="1:15" ht="15.75" hidden="1" thickBot="1" x14ac:dyDescent="0.3">
      <c r="A44" t="s">
        <v>27</v>
      </c>
      <c r="B44" t="s">
        <v>240</v>
      </c>
      <c r="C44" t="str">
        <f t="shared" si="0"/>
        <v>Cliente.[desFone]</v>
      </c>
      <c r="D44" t="str">
        <f t="shared" si="1"/>
        <v>Cliente.[desFone],</v>
      </c>
      <c r="E44" t="str">
        <f t="shared" si="2"/>
        <v>CLIENTE</v>
      </c>
      <c r="F44" t="str">
        <f t="shared" si="3"/>
        <v>CLIENTE.[DESFONE],</v>
      </c>
      <c r="H44" s="35" t="s">
        <v>393</v>
      </c>
      <c r="I44">
        <v>10</v>
      </c>
      <c r="K44" t="str">
        <f t="shared" si="5"/>
        <v xml:space="preserve">Cells(iCliente, 10), </v>
      </c>
      <c r="L44" t="s">
        <v>419</v>
      </c>
      <c r="N44" t="str">
        <f t="shared" si="4"/>
        <v xml:space="preserve">desFone, </v>
      </c>
      <c r="O44" t="s">
        <v>431</v>
      </c>
    </row>
    <row r="45" spans="1:15" ht="15.75" hidden="1" thickBot="1" x14ac:dyDescent="0.3">
      <c r="A45" t="s">
        <v>27</v>
      </c>
      <c r="B45" t="s">
        <v>241</v>
      </c>
      <c r="C45" t="str">
        <f t="shared" si="0"/>
        <v>Cliente.[desCelular]</v>
      </c>
      <c r="D45" t="str">
        <f t="shared" si="1"/>
        <v>Cliente.[desCelular],</v>
      </c>
      <c r="E45" t="str">
        <f t="shared" si="2"/>
        <v>CLIENTE</v>
      </c>
      <c r="F45" t="str">
        <f t="shared" si="3"/>
        <v>CLIENTE.[DESCELULAR],</v>
      </c>
      <c r="H45" s="35" t="s">
        <v>394</v>
      </c>
      <c r="I45">
        <v>11</v>
      </c>
      <c r="K45" t="str">
        <f t="shared" si="5"/>
        <v xml:space="preserve">Cells(iCliente, 11), </v>
      </c>
      <c r="L45" t="s">
        <v>420</v>
      </c>
      <c r="N45" t="str">
        <f t="shared" si="4"/>
        <v xml:space="preserve">desCelular, </v>
      </c>
      <c r="O45" t="s">
        <v>432</v>
      </c>
    </row>
    <row r="46" spans="1:15" ht="15.75" hidden="1" thickBot="1" x14ac:dyDescent="0.3">
      <c r="A46" t="s">
        <v>27</v>
      </c>
      <c r="B46" t="s">
        <v>230</v>
      </c>
      <c r="C46" t="str">
        <f t="shared" si="0"/>
        <v>Cliente.[desObservacao]</v>
      </c>
      <c r="D46" t="str">
        <f t="shared" si="1"/>
        <v>Cliente.[desObservacao],</v>
      </c>
      <c r="E46" t="str">
        <f t="shared" si="2"/>
        <v>CLIENTE</v>
      </c>
      <c r="F46" t="str">
        <f t="shared" si="3"/>
        <v>CLIENTE.[DESOBSERVACAO],</v>
      </c>
      <c r="H46" s="35" t="s">
        <v>379</v>
      </c>
      <c r="I46">
        <v>12</v>
      </c>
      <c r="K46" t="str">
        <f t="shared" si="5"/>
        <v xml:space="preserve">Cells(iCliente, 12), </v>
      </c>
      <c r="L46" t="s">
        <v>421</v>
      </c>
      <c r="N46" t="str">
        <f t="shared" si="4"/>
        <v xml:space="preserve">desObservacao, </v>
      </c>
      <c r="O46" t="s">
        <v>433</v>
      </c>
    </row>
    <row r="47" spans="1:15" hidden="1" x14ac:dyDescent="0.25">
      <c r="A47" t="s">
        <v>29</v>
      </c>
      <c r="B47" t="s">
        <v>203</v>
      </c>
      <c r="C47" t="str">
        <f t="shared" si="0"/>
        <v>Compra.[id]</v>
      </c>
      <c r="D47" t="str">
        <f t="shared" si="1"/>
        <v>Compra.[id],</v>
      </c>
      <c r="E47" t="str">
        <f t="shared" si="2"/>
        <v>COMPRA</v>
      </c>
      <c r="F47" t="str">
        <f t="shared" si="3"/>
        <v>COMPRA.[ID],</v>
      </c>
    </row>
    <row r="48" spans="1:15" hidden="1" x14ac:dyDescent="0.25">
      <c r="A48" t="s">
        <v>29</v>
      </c>
      <c r="B48" t="s">
        <v>213</v>
      </c>
      <c r="C48" t="str">
        <f t="shared" si="0"/>
        <v>Compra.[dtCompra]</v>
      </c>
      <c r="D48" t="str">
        <f t="shared" si="1"/>
        <v>Compra.[dtCompra],</v>
      </c>
      <c r="E48" t="str">
        <f t="shared" si="2"/>
        <v>COMPRA</v>
      </c>
      <c r="F48" t="str">
        <f t="shared" si="3"/>
        <v>COMPRA.[DTCOMPRA],</v>
      </c>
    </row>
    <row r="49" spans="1:16" hidden="1" x14ac:dyDescent="0.25">
      <c r="A49" t="s">
        <v>29</v>
      </c>
      <c r="B49" t="s">
        <v>242</v>
      </c>
      <c r="C49" t="str">
        <f t="shared" si="0"/>
        <v>Compra.[numPedido]</v>
      </c>
      <c r="D49" t="str">
        <f t="shared" si="1"/>
        <v>Compra.[numPedido],</v>
      </c>
      <c r="E49" t="str">
        <f t="shared" si="2"/>
        <v>COMPRA</v>
      </c>
      <c r="F49" t="str">
        <f t="shared" si="3"/>
        <v>COMPRA.[NUMPEDIDO],</v>
      </c>
    </row>
    <row r="50" spans="1:16" hidden="1" x14ac:dyDescent="0.25">
      <c r="A50" t="s">
        <v>29</v>
      </c>
      <c r="B50" t="s">
        <v>243</v>
      </c>
      <c r="C50" t="str">
        <f t="shared" si="0"/>
        <v>Compra.[numLote]</v>
      </c>
      <c r="D50" t="str">
        <f t="shared" si="1"/>
        <v>Compra.[numLote],</v>
      </c>
      <c r="E50" t="str">
        <f t="shared" si="2"/>
        <v>COMPRA</v>
      </c>
      <c r="F50" t="str">
        <f t="shared" si="3"/>
        <v>COMPRA.[NUMLOTE],</v>
      </c>
    </row>
    <row r="51" spans="1:16" hidden="1" x14ac:dyDescent="0.25">
      <c r="A51" t="s">
        <v>29</v>
      </c>
      <c r="B51" t="s">
        <v>244</v>
      </c>
      <c r="C51" t="str">
        <f t="shared" si="0"/>
        <v>Compra.[idFornecedor]</v>
      </c>
      <c r="D51" t="str">
        <f t="shared" si="1"/>
        <v>Compra.[idFornecedor],</v>
      </c>
      <c r="E51" t="str">
        <f t="shared" si="2"/>
        <v>COMPRA</v>
      </c>
      <c r="F51" t="str">
        <f t="shared" si="3"/>
        <v>COMPRA.[IDFORNECEDOR],</v>
      </c>
    </row>
    <row r="52" spans="1:16" hidden="1" x14ac:dyDescent="0.25">
      <c r="A52" t="s">
        <v>29</v>
      </c>
      <c r="B52" t="s">
        <v>245</v>
      </c>
      <c r="C52" t="str">
        <f t="shared" si="0"/>
        <v>Compra.[numDescricao]</v>
      </c>
      <c r="D52" t="str">
        <f t="shared" si="1"/>
        <v>Compra.[numDescricao],</v>
      </c>
      <c r="E52" t="str">
        <f t="shared" si="2"/>
        <v>COMPRA</v>
      </c>
      <c r="F52" t="str">
        <f t="shared" si="3"/>
        <v>COMPRA.[NUMDESCRICAO],</v>
      </c>
    </row>
    <row r="53" spans="1:16" hidden="1" x14ac:dyDescent="0.25">
      <c r="A53" t="s">
        <v>29</v>
      </c>
      <c r="B53" t="s">
        <v>229</v>
      </c>
      <c r="C53" t="str">
        <f t="shared" si="0"/>
        <v>Compra.[numQtde]</v>
      </c>
      <c r="D53" t="str">
        <f t="shared" si="1"/>
        <v>Compra.[numQtde],</v>
      </c>
      <c r="E53" t="str">
        <f t="shared" si="2"/>
        <v>COMPRA</v>
      </c>
      <c r="F53" t="str">
        <f t="shared" si="3"/>
        <v>COMPRA.[NUMQTDE],</v>
      </c>
    </row>
    <row r="54" spans="1:16" hidden="1" x14ac:dyDescent="0.25">
      <c r="A54" t="s">
        <v>29</v>
      </c>
      <c r="B54" t="s">
        <v>246</v>
      </c>
      <c r="C54" t="str">
        <f t="shared" si="0"/>
        <v>Compra.[numValor]</v>
      </c>
      <c r="D54" t="str">
        <f t="shared" si="1"/>
        <v>Compra.[numValor],</v>
      </c>
      <c r="E54" t="str">
        <f t="shared" si="2"/>
        <v>COMPRA</v>
      </c>
      <c r="F54" t="str">
        <f t="shared" si="3"/>
        <v>COMPRA.[NUMVALOR],</v>
      </c>
    </row>
    <row r="55" spans="1:16" hidden="1" x14ac:dyDescent="0.25">
      <c r="A55" t="s">
        <v>29</v>
      </c>
      <c r="B55" t="s">
        <v>247</v>
      </c>
      <c r="C55" t="str">
        <f t="shared" si="0"/>
        <v>Compra.[numValorTotal]</v>
      </c>
      <c r="D55" t="str">
        <f t="shared" si="1"/>
        <v>Compra.[numValorTotal],</v>
      </c>
      <c r="E55" t="str">
        <f t="shared" si="2"/>
        <v>COMPRA</v>
      </c>
      <c r="F55" t="str">
        <f t="shared" si="3"/>
        <v>COMPRA.[NUMVALORTOTAL],</v>
      </c>
    </row>
    <row r="56" spans="1:16" hidden="1" x14ac:dyDescent="0.25">
      <c r="A56" t="s">
        <v>29</v>
      </c>
      <c r="B56" t="s">
        <v>248</v>
      </c>
      <c r="C56" t="str">
        <f t="shared" si="0"/>
        <v>Compra.[dtVencimento]</v>
      </c>
      <c r="D56" t="str">
        <f t="shared" si="1"/>
        <v>Compra.[dtVencimento],</v>
      </c>
      <c r="E56" t="str">
        <f t="shared" si="2"/>
        <v>COMPRA</v>
      </c>
      <c r="F56" t="str">
        <f t="shared" si="3"/>
        <v>COMPRA.[DTVENCIMENTO],</v>
      </c>
    </row>
    <row r="57" spans="1:16" hidden="1" x14ac:dyDescent="0.25">
      <c r="A57" t="s">
        <v>29</v>
      </c>
      <c r="B57" t="s">
        <v>249</v>
      </c>
      <c r="C57" t="str">
        <f t="shared" si="0"/>
        <v>Compra.[dtPagamento]</v>
      </c>
      <c r="D57" t="str">
        <f t="shared" si="1"/>
        <v>Compra.[dtPagamento],</v>
      </c>
      <c r="E57" t="str">
        <f t="shared" si="2"/>
        <v>COMPRA</v>
      </c>
      <c r="F57" t="str">
        <f t="shared" si="3"/>
        <v>COMPRA.[DTPAGAMENTO],</v>
      </c>
    </row>
    <row r="58" spans="1:16" hidden="1" x14ac:dyDescent="0.25">
      <c r="A58" t="s">
        <v>43</v>
      </c>
      <c r="B58" t="s">
        <v>203</v>
      </c>
      <c r="C58" t="str">
        <f t="shared" si="0"/>
        <v>Despesa.[id]</v>
      </c>
      <c r="D58" t="str">
        <f t="shared" si="1"/>
        <v>Despesa.[id],</v>
      </c>
      <c r="E58" t="str">
        <f t="shared" si="2"/>
        <v>DESPESA</v>
      </c>
      <c r="F58" t="str">
        <f t="shared" si="3"/>
        <v>DESPESA.[ID],</v>
      </c>
    </row>
    <row r="59" spans="1:16" hidden="1" x14ac:dyDescent="0.25">
      <c r="A59" t="s">
        <v>43</v>
      </c>
      <c r="B59" t="s">
        <v>250</v>
      </c>
      <c r="C59" t="str">
        <f t="shared" si="0"/>
        <v>Despesa.[desDespesa]</v>
      </c>
      <c r="D59" t="str">
        <f t="shared" si="1"/>
        <v>Despesa.[desDespesa],</v>
      </c>
      <c r="E59" t="str">
        <f t="shared" si="2"/>
        <v>DESPESA</v>
      </c>
      <c r="F59" t="str">
        <f t="shared" si="3"/>
        <v>DESPESA.[DESDESPESA],</v>
      </c>
    </row>
    <row r="60" spans="1:16" hidden="1" x14ac:dyDescent="0.25">
      <c r="A60" t="s">
        <v>31</v>
      </c>
      <c r="B60" t="s">
        <v>203</v>
      </c>
      <c r="C60" t="str">
        <f t="shared" si="0"/>
        <v>Despesas.[id]</v>
      </c>
      <c r="D60" t="str">
        <f t="shared" si="1"/>
        <v>Despesas.[id],</v>
      </c>
      <c r="E60" t="str">
        <f t="shared" si="2"/>
        <v>DESPESAS</v>
      </c>
      <c r="F60" t="str">
        <f t="shared" si="3"/>
        <v>DESPESAS.[ID],</v>
      </c>
      <c r="I60" t="s">
        <v>203</v>
      </c>
      <c r="J60" t="s">
        <v>251</v>
      </c>
      <c r="K60" t="s">
        <v>216</v>
      </c>
      <c r="L60" t="s">
        <v>246</v>
      </c>
      <c r="M60" t="s">
        <v>248</v>
      </c>
      <c r="N60" t="s">
        <v>249</v>
      </c>
      <c r="O60" t="s">
        <v>230</v>
      </c>
      <c r="P60" t="s">
        <v>244</v>
      </c>
    </row>
    <row r="61" spans="1:16" hidden="1" x14ac:dyDescent="0.25">
      <c r="A61" t="s">
        <v>31</v>
      </c>
      <c r="B61" t="s">
        <v>251</v>
      </c>
      <c r="C61" t="str">
        <f t="shared" si="0"/>
        <v>Despesas.[idDespesa]</v>
      </c>
      <c r="D61" t="str">
        <f t="shared" si="1"/>
        <v>Despesas.[idDespesa],</v>
      </c>
      <c r="E61" t="str">
        <f t="shared" si="2"/>
        <v>DESPESAS</v>
      </c>
      <c r="F61" t="str">
        <f t="shared" si="3"/>
        <v>DESPESAS.[IDDESPESA],</v>
      </c>
      <c r="I61" t="str">
        <f>I60&amp;","</f>
        <v>id,</v>
      </c>
      <c r="J61" t="str">
        <f t="shared" ref="J61:O61" si="6">J60&amp;","</f>
        <v>idDespesa,</v>
      </c>
      <c r="K61" t="str">
        <f t="shared" si="6"/>
        <v>desDescricao,</v>
      </c>
      <c r="L61" t="str">
        <f t="shared" si="6"/>
        <v>numValor,</v>
      </c>
      <c r="M61" t="str">
        <f t="shared" si="6"/>
        <v>dtVencimento,</v>
      </c>
      <c r="N61" t="str">
        <f t="shared" si="6"/>
        <v>dtPagamento,</v>
      </c>
      <c r="O61" t="str">
        <f t="shared" si="6"/>
        <v>desObservacao,</v>
      </c>
      <c r="P61" t="str">
        <f>P60</f>
        <v>idFornecedor</v>
      </c>
    </row>
    <row r="62" spans="1:16" hidden="1" x14ac:dyDescent="0.25">
      <c r="A62" t="s">
        <v>31</v>
      </c>
      <c r="B62" t="s">
        <v>216</v>
      </c>
      <c r="C62" t="str">
        <f t="shared" si="0"/>
        <v>Despesas.[desDescricao]</v>
      </c>
      <c r="D62" t="str">
        <f t="shared" si="1"/>
        <v>Despesas.[desDescricao],</v>
      </c>
      <c r="E62" t="str">
        <f t="shared" si="2"/>
        <v>DESPESAS</v>
      </c>
      <c r="F62" t="str">
        <f t="shared" si="3"/>
        <v>DESPESAS.[DESDESCRICAO],</v>
      </c>
    </row>
    <row r="63" spans="1:16" hidden="1" x14ac:dyDescent="0.25">
      <c r="A63" t="s">
        <v>31</v>
      </c>
      <c r="B63" t="s">
        <v>246</v>
      </c>
      <c r="C63" t="str">
        <f t="shared" si="0"/>
        <v>Despesas.[numValor]</v>
      </c>
      <c r="D63" t="str">
        <f t="shared" si="1"/>
        <v>Despesas.[numValor],</v>
      </c>
      <c r="E63" t="str">
        <f t="shared" si="2"/>
        <v>DESPESAS</v>
      </c>
      <c r="F63" t="str">
        <f t="shared" si="3"/>
        <v>DESPESAS.[NUMVALOR],</v>
      </c>
    </row>
    <row r="64" spans="1:16" hidden="1" x14ac:dyDescent="0.25">
      <c r="A64" t="s">
        <v>31</v>
      </c>
      <c r="B64" t="s">
        <v>248</v>
      </c>
      <c r="C64" t="str">
        <f t="shared" si="0"/>
        <v>Despesas.[dtVencimento]</v>
      </c>
      <c r="D64" t="str">
        <f t="shared" si="1"/>
        <v>Despesas.[dtVencimento],</v>
      </c>
      <c r="E64" t="str">
        <f t="shared" si="2"/>
        <v>DESPESAS</v>
      </c>
      <c r="F64" t="str">
        <f t="shared" si="3"/>
        <v>DESPESAS.[DTVENCIMENTO],</v>
      </c>
    </row>
    <row r="65" spans="1:6" hidden="1" x14ac:dyDescent="0.25">
      <c r="A65" t="s">
        <v>31</v>
      </c>
      <c r="B65" t="s">
        <v>249</v>
      </c>
      <c r="C65" t="str">
        <f t="shared" si="0"/>
        <v>Despesas.[dtPagamento]</v>
      </c>
      <c r="D65" t="str">
        <f t="shared" si="1"/>
        <v>Despesas.[dtPagamento],</v>
      </c>
      <c r="E65" t="str">
        <f t="shared" si="2"/>
        <v>DESPESAS</v>
      </c>
      <c r="F65" t="str">
        <f t="shared" si="3"/>
        <v>DESPESAS.[DTPAGAMENTO],</v>
      </c>
    </row>
    <row r="66" spans="1:6" hidden="1" x14ac:dyDescent="0.25">
      <c r="A66" t="s">
        <v>31</v>
      </c>
      <c r="B66" t="s">
        <v>230</v>
      </c>
      <c r="C66" t="str">
        <f t="shared" si="0"/>
        <v>Despesas.[desObservacao]</v>
      </c>
      <c r="D66" t="str">
        <f t="shared" si="1"/>
        <v>Despesas.[desObservacao],</v>
      </c>
      <c r="E66" t="str">
        <f t="shared" si="2"/>
        <v>DESPESAS</v>
      </c>
      <c r="F66" t="str">
        <f t="shared" si="3"/>
        <v>DESPESAS.[DESOBSERVACAO],</v>
      </c>
    </row>
    <row r="67" spans="1:6" hidden="1" x14ac:dyDescent="0.25">
      <c r="A67" t="s">
        <v>31</v>
      </c>
      <c r="B67" t="s">
        <v>244</v>
      </c>
      <c r="C67" t="str">
        <f t="shared" si="0"/>
        <v>Despesas.[idFornecedor]</v>
      </c>
      <c r="D67" t="str">
        <f t="shared" si="1"/>
        <v>Despesas.[idFornecedor],</v>
      </c>
      <c r="E67" t="str">
        <f t="shared" si="2"/>
        <v>DESPESAS</v>
      </c>
      <c r="F67" t="str">
        <f t="shared" si="3"/>
        <v>DESPESAS.[IDFORNECEDOR],</v>
      </c>
    </row>
    <row r="68" spans="1:6" hidden="1" x14ac:dyDescent="0.25">
      <c r="A68" t="s">
        <v>33</v>
      </c>
      <c r="B68" t="s">
        <v>203</v>
      </c>
      <c r="C68" t="str">
        <f t="shared" ref="C68:C124" si="7">A68&amp;"."&amp;"["&amp;B68&amp;"]"</f>
        <v>Fornecedor.[id]</v>
      </c>
      <c r="D68" t="str">
        <f t="shared" ref="D68:D124" si="8">C68&amp;","</f>
        <v>Fornecedor.[id],</v>
      </c>
      <c r="E68" t="str">
        <f t="shared" ref="E68:E124" si="9">UPPER(A68)</f>
        <v>FORNECEDOR</v>
      </c>
      <c r="F68" t="str">
        <f t="shared" ref="F68:F124" si="10">UPPER(D68)</f>
        <v>FORNECEDOR.[ID],</v>
      </c>
    </row>
    <row r="69" spans="1:6" hidden="1" x14ac:dyDescent="0.25">
      <c r="A69" t="s">
        <v>33</v>
      </c>
      <c r="B69" t="s">
        <v>232</v>
      </c>
      <c r="C69" t="str">
        <f t="shared" si="7"/>
        <v>Fornecedor.[desNome]</v>
      </c>
      <c r="D69" t="str">
        <f t="shared" si="8"/>
        <v>Fornecedor.[desNome],</v>
      </c>
      <c r="E69" t="str">
        <f t="shared" si="9"/>
        <v>FORNECEDOR</v>
      </c>
      <c r="F69" t="str">
        <f t="shared" si="10"/>
        <v>FORNECEDOR.[DESNOME],</v>
      </c>
    </row>
    <row r="70" spans="1:6" hidden="1" x14ac:dyDescent="0.25">
      <c r="A70" t="s">
        <v>33</v>
      </c>
      <c r="B70" t="s">
        <v>233</v>
      </c>
      <c r="C70" t="str">
        <f t="shared" si="7"/>
        <v>Fornecedor.[numCPFCNPJ]</v>
      </c>
      <c r="D70" t="str">
        <f t="shared" si="8"/>
        <v>Fornecedor.[numCPFCNPJ],</v>
      </c>
      <c r="E70" t="str">
        <f t="shared" si="9"/>
        <v>FORNECEDOR</v>
      </c>
      <c r="F70" t="str">
        <f t="shared" si="10"/>
        <v>FORNECEDOR.[NUMCPFCNPJ],</v>
      </c>
    </row>
    <row r="71" spans="1:6" hidden="1" x14ac:dyDescent="0.25">
      <c r="A71" t="s">
        <v>33</v>
      </c>
      <c r="B71" t="s">
        <v>234</v>
      </c>
      <c r="C71" t="str">
        <f t="shared" si="7"/>
        <v>Fornecedor.[desEmail]</v>
      </c>
      <c r="D71" t="str">
        <f t="shared" si="8"/>
        <v>Fornecedor.[desEmail],</v>
      </c>
      <c r="E71" t="str">
        <f t="shared" si="9"/>
        <v>FORNECEDOR</v>
      </c>
      <c r="F71" t="str">
        <f t="shared" si="10"/>
        <v>FORNECEDOR.[DESEMAIL],</v>
      </c>
    </row>
    <row r="72" spans="1:6" hidden="1" x14ac:dyDescent="0.25">
      <c r="A72" t="s">
        <v>33</v>
      </c>
      <c r="B72" t="s">
        <v>235</v>
      </c>
      <c r="C72" t="str">
        <f t="shared" si="7"/>
        <v>Fornecedor.[desUF]</v>
      </c>
      <c r="D72" t="str">
        <f t="shared" si="8"/>
        <v>Fornecedor.[desUF],</v>
      </c>
      <c r="E72" t="str">
        <f t="shared" si="9"/>
        <v>FORNECEDOR</v>
      </c>
      <c r="F72" t="str">
        <f t="shared" si="10"/>
        <v>FORNECEDOR.[DESUF],</v>
      </c>
    </row>
    <row r="73" spans="1:6" hidden="1" x14ac:dyDescent="0.25">
      <c r="A73" t="s">
        <v>33</v>
      </c>
      <c r="B73" t="s">
        <v>236</v>
      </c>
      <c r="C73" t="str">
        <f t="shared" si="7"/>
        <v>Fornecedor.[desCidade]</v>
      </c>
      <c r="D73" t="str">
        <f t="shared" si="8"/>
        <v>Fornecedor.[desCidade],</v>
      </c>
      <c r="E73" t="str">
        <f t="shared" si="9"/>
        <v>FORNECEDOR</v>
      </c>
      <c r="F73" t="str">
        <f t="shared" si="10"/>
        <v>FORNECEDOR.[DESCIDADE],</v>
      </c>
    </row>
    <row r="74" spans="1:6" hidden="1" x14ac:dyDescent="0.25">
      <c r="A74" t="s">
        <v>33</v>
      </c>
      <c r="B74" t="s">
        <v>237</v>
      </c>
      <c r="C74" t="str">
        <f t="shared" si="7"/>
        <v>Fornecedor.[desBairro]</v>
      </c>
      <c r="D74" t="str">
        <f t="shared" si="8"/>
        <v>Fornecedor.[desBairro],</v>
      </c>
      <c r="E74" t="str">
        <f t="shared" si="9"/>
        <v>FORNECEDOR</v>
      </c>
      <c r="F74" t="str">
        <f t="shared" si="10"/>
        <v>FORNECEDOR.[DESBAIRRO],</v>
      </c>
    </row>
    <row r="75" spans="1:6" hidden="1" x14ac:dyDescent="0.25">
      <c r="A75" t="s">
        <v>33</v>
      </c>
      <c r="B75" t="s">
        <v>238</v>
      </c>
      <c r="C75" t="str">
        <f t="shared" si="7"/>
        <v>Fornecedor.[desCEP]</v>
      </c>
      <c r="D75" t="str">
        <f t="shared" si="8"/>
        <v>Fornecedor.[desCEP],</v>
      </c>
      <c r="E75" t="str">
        <f t="shared" si="9"/>
        <v>FORNECEDOR</v>
      </c>
      <c r="F75" t="str">
        <f t="shared" si="10"/>
        <v>FORNECEDOR.[DESCEP],</v>
      </c>
    </row>
    <row r="76" spans="1:6" hidden="1" x14ac:dyDescent="0.25">
      <c r="A76" t="s">
        <v>33</v>
      </c>
      <c r="B76" t="s">
        <v>239</v>
      </c>
      <c r="C76" t="str">
        <f t="shared" si="7"/>
        <v>Fornecedor.[desEndereco]</v>
      </c>
      <c r="D76" t="str">
        <f t="shared" si="8"/>
        <v>Fornecedor.[desEndereco],</v>
      </c>
      <c r="E76" t="str">
        <f t="shared" si="9"/>
        <v>FORNECEDOR</v>
      </c>
      <c r="F76" t="str">
        <f t="shared" si="10"/>
        <v>FORNECEDOR.[DESENDERECO],</v>
      </c>
    </row>
    <row r="77" spans="1:6" hidden="1" x14ac:dyDescent="0.25">
      <c r="A77" t="s">
        <v>33</v>
      </c>
      <c r="B77" t="s">
        <v>240</v>
      </c>
      <c r="C77" t="str">
        <f t="shared" si="7"/>
        <v>Fornecedor.[desFone]</v>
      </c>
      <c r="D77" t="str">
        <f t="shared" si="8"/>
        <v>Fornecedor.[desFone],</v>
      </c>
      <c r="E77" t="str">
        <f t="shared" si="9"/>
        <v>FORNECEDOR</v>
      </c>
      <c r="F77" t="str">
        <f t="shared" si="10"/>
        <v>FORNECEDOR.[DESFONE],</v>
      </c>
    </row>
    <row r="78" spans="1:6" hidden="1" x14ac:dyDescent="0.25">
      <c r="A78" t="s">
        <v>33</v>
      </c>
      <c r="B78" t="s">
        <v>241</v>
      </c>
      <c r="C78" t="str">
        <f t="shared" si="7"/>
        <v>Fornecedor.[desCelular]</v>
      </c>
      <c r="D78" t="str">
        <f t="shared" si="8"/>
        <v>Fornecedor.[desCelular],</v>
      </c>
      <c r="E78" t="str">
        <f t="shared" si="9"/>
        <v>FORNECEDOR</v>
      </c>
      <c r="F78" t="str">
        <f t="shared" si="10"/>
        <v>FORNECEDOR.[DESCELULAR],</v>
      </c>
    </row>
    <row r="79" spans="1:6" hidden="1" x14ac:dyDescent="0.25">
      <c r="A79" t="s">
        <v>33</v>
      </c>
      <c r="B79" t="s">
        <v>230</v>
      </c>
      <c r="C79" t="str">
        <f t="shared" si="7"/>
        <v>Fornecedor.[desObservacao]</v>
      </c>
      <c r="D79" t="str">
        <f t="shared" si="8"/>
        <v>Fornecedor.[desObservacao],</v>
      </c>
      <c r="E79" t="str">
        <f t="shared" si="9"/>
        <v>FORNECEDOR</v>
      </c>
      <c r="F79" t="str">
        <f t="shared" si="10"/>
        <v>FORNECEDOR.[DESOBSERVACAO],</v>
      </c>
    </row>
    <row r="80" spans="1:6" hidden="1" x14ac:dyDescent="0.25">
      <c r="A80" t="s">
        <v>35</v>
      </c>
      <c r="B80" t="s">
        <v>203</v>
      </c>
      <c r="C80" t="str">
        <f t="shared" si="7"/>
        <v>Inseminacao.[id]</v>
      </c>
      <c r="D80" t="str">
        <f t="shared" si="8"/>
        <v>Inseminacao.[id],</v>
      </c>
      <c r="E80" t="str">
        <f t="shared" si="9"/>
        <v>INSEMINACAO</v>
      </c>
      <c r="F80" t="str">
        <f t="shared" si="10"/>
        <v>INSEMINACAO.[ID],</v>
      </c>
    </row>
    <row r="81" spans="1:6" hidden="1" x14ac:dyDescent="0.25">
      <c r="A81" t="s">
        <v>35</v>
      </c>
      <c r="B81" t="s">
        <v>224</v>
      </c>
      <c r="C81" t="str">
        <f t="shared" si="7"/>
        <v>Inseminacao.[idAnimal]</v>
      </c>
      <c r="D81" t="str">
        <f t="shared" si="8"/>
        <v>Inseminacao.[idAnimal],</v>
      </c>
      <c r="E81" t="str">
        <f t="shared" si="9"/>
        <v>INSEMINACAO</v>
      </c>
      <c r="F81" t="str">
        <f t="shared" si="10"/>
        <v>INSEMINACAO.[IDANIMAL],</v>
      </c>
    </row>
    <row r="82" spans="1:6" hidden="1" x14ac:dyDescent="0.25">
      <c r="A82" t="s">
        <v>35</v>
      </c>
      <c r="B82" t="s">
        <v>252</v>
      </c>
      <c r="C82" t="str">
        <f t="shared" si="7"/>
        <v>Inseminacao.[dtInseminacao]</v>
      </c>
      <c r="D82" t="str">
        <f t="shared" si="8"/>
        <v>Inseminacao.[dtInseminacao],</v>
      </c>
      <c r="E82" t="str">
        <f t="shared" si="9"/>
        <v>INSEMINACAO</v>
      </c>
      <c r="F82" t="str">
        <f t="shared" si="10"/>
        <v>INSEMINACAO.[DTINSEMINACAO],</v>
      </c>
    </row>
    <row r="83" spans="1:6" hidden="1" x14ac:dyDescent="0.25">
      <c r="A83" t="s">
        <v>35</v>
      </c>
      <c r="B83" t="s">
        <v>130</v>
      </c>
      <c r="C83" t="str">
        <f t="shared" si="7"/>
        <v>Inseminacao.[desStatus]</v>
      </c>
      <c r="D83" t="str">
        <f t="shared" si="8"/>
        <v>Inseminacao.[desStatus],</v>
      </c>
      <c r="E83" t="str">
        <f t="shared" si="9"/>
        <v>INSEMINACAO</v>
      </c>
      <c r="F83" t="str">
        <f t="shared" si="10"/>
        <v>INSEMINACAO.[DESSTATUS],</v>
      </c>
    </row>
    <row r="84" spans="1:6" hidden="1" x14ac:dyDescent="0.25">
      <c r="A84" t="s">
        <v>35</v>
      </c>
      <c r="B84" t="s">
        <v>253</v>
      </c>
      <c r="C84" t="str">
        <f t="shared" si="7"/>
        <v>Inseminacao.[desEfetivou]</v>
      </c>
      <c r="D84" t="str">
        <f t="shared" si="8"/>
        <v>Inseminacao.[desEfetivou],</v>
      </c>
      <c r="E84" t="str">
        <f t="shared" si="9"/>
        <v>INSEMINACAO</v>
      </c>
      <c r="F84" t="str">
        <f t="shared" si="10"/>
        <v>INSEMINACAO.[DESEFETIVOU],</v>
      </c>
    </row>
    <row r="85" spans="1:6" hidden="1" x14ac:dyDescent="0.25">
      <c r="A85" t="s">
        <v>35</v>
      </c>
      <c r="B85" t="s">
        <v>254</v>
      </c>
      <c r="C85" t="str">
        <f t="shared" si="7"/>
        <v>Inseminacao.[dtCria]</v>
      </c>
      <c r="D85" t="str">
        <f t="shared" si="8"/>
        <v>Inseminacao.[dtCria],</v>
      </c>
      <c r="E85" t="str">
        <f t="shared" si="9"/>
        <v>INSEMINACAO</v>
      </c>
      <c r="F85" t="str">
        <f t="shared" si="10"/>
        <v>INSEMINACAO.[DTCRIA],</v>
      </c>
    </row>
    <row r="86" spans="1:6" hidden="1" x14ac:dyDescent="0.25">
      <c r="A86" t="s">
        <v>35</v>
      </c>
      <c r="B86" t="s">
        <v>255</v>
      </c>
      <c r="C86" t="str">
        <f t="shared" si="7"/>
        <v>Inseminacao.[qtdeCria]</v>
      </c>
      <c r="D86" t="str">
        <f t="shared" si="8"/>
        <v>Inseminacao.[qtdeCria],</v>
      </c>
      <c r="E86" t="str">
        <f t="shared" si="9"/>
        <v>INSEMINACAO</v>
      </c>
      <c r="F86" t="str">
        <f t="shared" si="10"/>
        <v>INSEMINACAO.[QTDECRIA],</v>
      </c>
    </row>
    <row r="87" spans="1:6" hidden="1" x14ac:dyDescent="0.25">
      <c r="A87" t="s">
        <v>45</v>
      </c>
      <c r="B87" t="s">
        <v>203</v>
      </c>
      <c r="C87" t="str">
        <f t="shared" si="7"/>
        <v>Medicamento.[id]</v>
      </c>
      <c r="D87" t="str">
        <f t="shared" si="8"/>
        <v>Medicamento.[id],</v>
      </c>
      <c r="E87" t="str">
        <f t="shared" si="9"/>
        <v>MEDICAMENTO</v>
      </c>
      <c r="F87" t="str">
        <f t="shared" si="10"/>
        <v>MEDICAMENTO.[ID],</v>
      </c>
    </row>
    <row r="88" spans="1:6" hidden="1" x14ac:dyDescent="0.25">
      <c r="A88" t="s">
        <v>45</v>
      </c>
      <c r="B88" t="s">
        <v>256</v>
      </c>
      <c r="C88" t="str">
        <f t="shared" si="7"/>
        <v>Medicamento.[desMedicamento]</v>
      </c>
      <c r="D88" t="str">
        <f t="shared" si="8"/>
        <v>Medicamento.[desMedicamento],</v>
      </c>
      <c r="E88" t="str">
        <f t="shared" si="9"/>
        <v>MEDICAMENTO</v>
      </c>
      <c r="F88" t="str">
        <f t="shared" si="10"/>
        <v>MEDICAMENTO.[DESMEDICAMENTO],</v>
      </c>
    </row>
    <row r="89" spans="1:6" hidden="1" x14ac:dyDescent="0.25">
      <c r="A89" t="s">
        <v>47</v>
      </c>
      <c r="B89" t="s">
        <v>203</v>
      </c>
      <c r="C89" t="str">
        <f t="shared" si="7"/>
        <v>Origem.[id]</v>
      </c>
      <c r="D89" t="str">
        <f t="shared" si="8"/>
        <v>Origem.[id],</v>
      </c>
      <c r="E89" t="str">
        <f t="shared" si="9"/>
        <v>ORIGEM</v>
      </c>
      <c r="F89" t="str">
        <f t="shared" si="10"/>
        <v>ORIGEM.[ID],</v>
      </c>
    </row>
    <row r="90" spans="1:6" hidden="1" x14ac:dyDescent="0.25">
      <c r="A90" t="s">
        <v>47</v>
      </c>
      <c r="B90" t="s">
        <v>257</v>
      </c>
      <c r="C90" t="str">
        <f t="shared" si="7"/>
        <v>Origem.[desOrigem]</v>
      </c>
      <c r="D90" t="str">
        <f t="shared" si="8"/>
        <v>Origem.[desOrigem],</v>
      </c>
      <c r="E90" t="str">
        <f t="shared" si="9"/>
        <v>ORIGEM</v>
      </c>
      <c r="F90" t="str">
        <f t="shared" si="10"/>
        <v>ORIGEM.[DESORIGEM],</v>
      </c>
    </row>
    <row r="91" spans="1:6" hidden="1" x14ac:dyDescent="0.25">
      <c r="A91" t="s">
        <v>49</v>
      </c>
      <c r="B91" t="s">
        <v>203</v>
      </c>
      <c r="C91" t="str">
        <f t="shared" si="7"/>
        <v>Pasto.[id]</v>
      </c>
      <c r="D91" t="str">
        <f t="shared" si="8"/>
        <v>Pasto.[id],</v>
      </c>
      <c r="E91" t="str">
        <f t="shared" si="9"/>
        <v>PASTO</v>
      </c>
      <c r="F91" t="str">
        <f t="shared" si="10"/>
        <v>PASTO.[ID],</v>
      </c>
    </row>
    <row r="92" spans="1:6" hidden="1" x14ac:dyDescent="0.25">
      <c r="A92" t="s">
        <v>49</v>
      </c>
      <c r="B92" t="s">
        <v>258</v>
      </c>
      <c r="C92" t="str">
        <f t="shared" si="7"/>
        <v>Pasto.[desPasto]</v>
      </c>
      <c r="D92" t="str">
        <f t="shared" si="8"/>
        <v>Pasto.[desPasto],</v>
      </c>
      <c r="E92" t="str">
        <f t="shared" si="9"/>
        <v>PASTO</v>
      </c>
      <c r="F92" t="str">
        <f t="shared" si="10"/>
        <v>PASTO.[DESPASTO],</v>
      </c>
    </row>
    <row r="93" spans="1:6" hidden="1" x14ac:dyDescent="0.25">
      <c r="A93" t="s">
        <v>37</v>
      </c>
      <c r="B93" t="s">
        <v>203</v>
      </c>
      <c r="C93" t="str">
        <f t="shared" si="7"/>
        <v>Peso.[id]</v>
      </c>
      <c r="D93" t="str">
        <f t="shared" si="8"/>
        <v>Peso.[id],</v>
      </c>
      <c r="E93" t="str">
        <f t="shared" si="9"/>
        <v>PESO</v>
      </c>
      <c r="F93" t="str">
        <f t="shared" si="10"/>
        <v>PESO.[ID],</v>
      </c>
    </row>
    <row r="94" spans="1:6" hidden="1" x14ac:dyDescent="0.25">
      <c r="A94" t="s">
        <v>37</v>
      </c>
      <c r="B94" t="s">
        <v>224</v>
      </c>
      <c r="C94" t="str">
        <f t="shared" si="7"/>
        <v>Peso.[idAnimal]</v>
      </c>
      <c r="D94" t="str">
        <f t="shared" si="8"/>
        <v>Peso.[idAnimal],</v>
      </c>
      <c r="E94" t="str">
        <f t="shared" si="9"/>
        <v>PESO</v>
      </c>
      <c r="F94" t="str">
        <f t="shared" si="10"/>
        <v>PESO.[IDANIMAL],</v>
      </c>
    </row>
    <row r="95" spans="1:6" hidden="1" x14ac:dyDescent="0.25">
      <c r="A95" t="s">
        <v>37</v>
      </c>
      <c r="B95" t="s">
        <v>259</v>
      </c>
      <c r="C95" t="str">
        <f t="shared" si="7"/>
        <v>Peso.[desSitio]</v>
      </c>
      <c r="D95" t="str">
        <f t="shared" si="8"/>
        <v>Peso.[desSitio],</v>
      </c>
      <c r="E95" t="str">
        <f t="shared" si="9"/>
        <v>PESO</v>
      </c>
      <c r="F95" t="str">
        <f t="shared" si="10"/>
        <v>PESO.[DESSITIO],</v>
      </c>
    </row>
    <row r="96" spans="1:6" hidden="1" x14ac:dyDescent="0.25">
      <c r="A96" t="s">
        <v>37</v>
      </c>
      <c r="B96" t="s">
        <v>204</v>
      </c>
      <c r="C96" t="str">
        <f t="shared" si="7"/>
        <v>Peso.[numBrinco]</v>
      </c>
      <c r="D96" t="str">
        <f t="shared" si="8"/>
        <v>Peso.[numBrinco],</v>
      </c>
      <c r="E96" t="str">
        <f t="shared" si="9"/>
        <v>PESO</v>
      </c>
      <c r="F96" t="str">
        <f t="shared" si="10"/>
        <v>PESO.[NUMBRINCO],</v>
      </c>
    </row>
    <row r="97" spans="1:6" hidden="1" x14ac:dyDescent="0.25">
      <c r="A97" t="s">
        <v>37</v>
      </c>
      <c r="B97" t="s">
        <v>260</v>
      </c>
      <c r="C97" t="str">
        <f t="shared" si="7"/>
        <v>Peso.[desTipo]</v>
      </c>
      <c r="D97" t="str">
        <f t="shared" si="8"/>
        <v>Peso.[desTipo],</v>
      </c>
      <c r="E97" t="str">
        <f t="shared" si="9"/>
        <v>PESO</v>
      </c>
      <c r="F97" t="str">
        <f t="shared" si="10"/>
        <v>PESO.[DESTIPO],</v>
      </c>
    </row>
    <row r="98" spans="1:6" hidden="1" x14ac:dyDescent="0.25">
      <c r="A98" t="s">
        <v>37</v>
      </c>
      <c r="B98" t="s">
        <v>261</v>
      </c>
      <c r="C98" t="str">
        <f t="shared" si="7"/>
        <v>Peso.[desCategoria]</v>
      </c>
      <c r="D98" t="str">
        <f t="shared" si="8"/>
        <v>Peso.[desCategoria],</v>
      </c>
      <c r="E98" t="str">
        <f t="shared" si="9"/>
        <v>PESO</v>
      </c>
      <c r="F98" t="str">
        <f t="shared" si="10"/>
        <v>PESO.[DESCATEGORIA],</v>
      </c>
    </row>
    <row r="99" spans="1:6" hidden="1" x14ac:dyDescent="0.25">
      <c r="A99" t="s">
        <v>37</v>
      </c>
      <c r="B99" t="s">
        <v>262</v>
      </c>
      <c r="C99" t="str">
        <f t="shared" si="7"/>
        <v>Peso.[numPeso]</v>
      </c>
      <c r="D99" t="str">
        <f t="shared" si="8"/>
        <v>Peso.[numPeso],</v>
      </c>
      <c r="E99" t="str">
        <f t="shared" si="9"/>
        <v>PESO</v>
      </c>
      <c r="F99" t="str">
        <f t="shared" si="10"/>
        <v>PESO.[NUMPESO],</v>
      </c>
    </row>
    <row r="100" spans="1:6" hidden="1" x14ac:dyDescent="0.25">
      <c r="A100" t="s">
        <v>37</v>
      </c>
      <c r="B100" t="s">
        <v>263</v>
      </c>
      <c r="C100" t="str">
        <f t="shared" si="7"/>
        <v>Peso.[dtPeso]</v>
      </c>
      <c r="D100" t="str">
        <f t="shared" si="8"/>
        <v>Peso.[dtPeso],</v>
      </c>
      <c r="E100" t="str">
        <f t="shared" si="9"/>
        <v>PESO</v>
      </c>
      <c r="F100" t="str">
        <f t="shared" si="10"/>
        <v>PESO.[DTPESO],</v>
      </c>
    </row>
    <row r="101" spans="1:6" hidden="1" x14ac:dyDescent="0.25">
      <c r="A101" t="s">
        <v>51</v>
      </c>
      <c r="B101" t="s">
        <v>203</v>
      </c>
      <c r="C101" t="str">
        <f t="shared" si="7"/>
        <v>Raca.[id]</v>
      </c>
      <c r="D101" t="str">
        <f t="shared" si="8"/>
        <v>Raca.[id],</v>
      </c>
      <c r="E101" t="str">
        <f t="shared" si="9"/>
        <v>RACA</v>
      </c>
      <c r="F101" t="str">
        <f t="shared" si="10"/>
        <v>RACA.[ID],</v>
      </c>
    </row>
    <row r="102" spans="1:6" hidden="1" x14ac:dyDescent="0.25">
      <c r="A102" t="s">
        <v>51</v>
      </c>
      <c r="B102" t="s">
        <v>264</v>
      </c>
      <c r="C102" t="str">
        <f t="shared" si="7"/>
        <v>Raca.[desRaca]</v>
      </c>
      <c r="D102" t="str">
        <f t="shared" si="8"/>
        <v>Raca.[desRaca],</v>
      </c>
      <c r="E102" t="str">
        <f t="shared" si="9"/>
        <v>RACA</v>
      </c>
      <c r="F102" t="str">
        <f t="shared" si="10"/>
        <v>RACA.[DESRACA],</v>
      </c>
    </row>
    <row r="103" spans="1:6" hidden="1" x14ac:dyDescent="0.25">
      <c r="A103" t="s">
        <v>0</v>
      </c>
      <c r="B103" t="s">
        <v>203</v>
      </c>
      <c r="C103" t="str">
        <f t="shared" si="7"/>
        <v>Sanidade.[id]</v>
      </c>
      <c r="D103" t="str">
        <f t="shared" si="8"/>
        <v>Sanidade.[id],</v>
      </c>
      <c r="E103" t="str">
        <f t="shared" si="9"/>
        <v>SANIDADE</v>
      </c>
      <c r="F103" t="str">
        <f t="shared" si="10"/>
        <v>SANIDADE.[ID],</v>
      </c>
    </row>
    <row r="104" spans="1:6" hidden="1" x14ac:dyDescent="0.25">
      <c r="A104" t="s">
        <v>0</v>
      </c>
      <c r="B104" t="s">
        <v>265</v>
      </c>
      <c r="C104" t="str">
        <f t="shared" si="7"/>
        <v>Sanidade.[desSanidade]</v>
      </c>
      <c r="D104" t="str">
        <f t="shared" si="8"/>
        <v>Sanidade.[desSanidade],</v>
      </c>
      <c r="E104" t="str">
        <f t="shared" si="9"/>
        <v>SANIDADE</v>
      </c>
      <c r="F104" t="str">
        <f t="shared" si="10"/>
        <v>SANIDADE.[DESSANIDADE],</v>
      </c>
    </row>
    <row r="105" spans="1:6" hidden="1" x14ac:dyDescent="0.25">
      <c r="A105" t="s">
        <v>63</v>
      </c>
      <c r="B105" t="s">
        <v>203</v>
      </c>
      <c r="C105" t="str">
        <f t="shared" si="7"/>
        <v>Sitio.[id]</v>
      </c>
      <c r="D105" t="str">
        <f t="shared" si="8"/>
        <v>Sitio.[id],</v>
      </c>
      <c r="E105" t="str">
        <f t="shared" si="9"/>
        <v>SITIO</v>
      </c>
      <c r="F105" t="str">
        <f t="shared" si="10"/>
        <v>SITIO.[ID],</v>
      </c>
    </row>
    <row r="106" spans="1:6" hidden="1" x14ac:dyDescent="0.25">
      <c r="A106" t="s">
        <v>63</v>
      </c>
      <c r="B106" t="s">
        <v>259</v>
      </c>
      <c r="C106" t="str">
        <f t="shared" si="7"/>
        <v>Sitio.[desSitio]</v>
      </c>
      <c r="D106" t="str">
        <f t="shared" si="8"/>
        <v>Sitio.[desSitio],</v>
      </c>
      <c r="E106" t="str">
        <f t="shared" si="9"/>
        <v>SITIO</v>
      </c>
      <c r="F106" t="str">
        <f t="shared" si="10"/>
        <v>SITIO.[DESSITIO],</v>
      </c>
    </row>
    <row r="107" spans="1:6" hidden="1" x14ac:dyDescent="0.25">
      <c r="A107" t="s">
        <v>53</v>
      </c>
      <c r="B107" t="s">
        <v>203</v>
      </c>
      <c r="C107" t="str">
        <f t="shared" si="7"/>
        <v>StatusAnimal.[id]</v>
      </c>
      <c r="D107" t="str">
        <f t="shared" si="8"/>
        <v>StatusAnimal.[id],</v>
      </c>
      <c r="E107" t="str">
        <f t="shared" si="9"/>
        <v>STATUSANIMAL</v>
      </c>
      <c r="F107" t="str">
        <f t="shared" si="10"/>
        <v>STATUSANIMAL.[ID],</v>
      </c>
    </row>
    <row r="108" spans="1:6" hidden="1" x14ac:dyDescent="0.25">
      <c r="A108" t="s">
        <v>53</v>
      </c>
      <c r="B108" t="s">
        <v>130</v>
      </c>
      <c r="C108" t="str">
        <f t="shared" si="7"/>
        <v>StatusAnimal.[desStatus]</v>
      </c>
      <c r="D108" t="str">
        <f t="shared" si="8"/>
        <v>StatusAnimal.[desStatus],</v>
      </c>
      <c r="E108" t="str">
        <f t="shared" si="9"/>
        <v>STATUSANIMAL</v>
      </c>
      <c r="F108" t="str">
        <f t="shared" si="10"/>
        <v>STATUSANIMAL.[DESSTATUS],</v>
      </c>
    </row>
    <row r="109" spans="1:6" hidden="1" x14ac:dyDescent="0.25">
      <c r="A109" t="s">
        <v>266</v>
      </c>
      <c r="B109" t="s">
        <v>203</v>
      </c>
      <c r="C109" t="str">
        <f t="shared" si="7"/>
        <v>TipoAnimal.[id]</v>
      </c>
      <c r="D109" t="str">
        <f t="shared" si="8"/>
        <v>TipoAnimal.[id],</v>
      </c>
      <c r="E109" t="str">
        <f t="shared" si="9"/>
        <v>TIPOANIMAL</v>
      </c>
      <c r="F109" t="str">
        <f t="shared" si="10"/>
        <v>TIPOANIMAL.[ID],</v>
      </c>
    </row>
    <row r="110" spans="1:6" hidden="1" x14ac:dyDescent="0.25">
      <c r="A110" t="s">
        <v>266</v>
      </c>
      <c r="B110" t="s">
        <v>260</v>
      </c>
      <c r="C110" t="str">
        <f t="shared" si="7"/>
        <v>TipoAnimal.[desTipo]</v>
      </c>
      <c r="D110" t="str">
        <f t="shared" si="8"/>
        <v>TipoAnimal.[desTipo],</v>
      </c>
      <c r="E110" t="str">
        <f t="shared" si="9"/>
        <v>TIPOANIMAL</v>
      </c>
      <c r="F110" t="str">
        <f t="shared" si="10"/>
        <v>TIPOANIMAL.[DESTIPO],</v>
      </c>
    </row>
    <row r="111" spans="1:6" hidden="1" x14ac:dyDescent="0.25">
      <c r="A111" t="s">
        <v>55</v>
      </c>
      <c r="B111" t="s">
        <v>203</v>
      </c>
      <c r="C111" t="str">
        <f t="shared" si="7"/>
        <v>TipoReceita.[id]</v>
      </c>
      <c r="D111" t="str">
        <f t="shared" si="8"/>
        <v>TipoReceita.[id],</v>
      </c>
      <c r="E111" t="str">
        <f t="shared" si="9"/>
        <v>TIPORECEITA</v>
      </c>
      <c r="F111" t="str">
        <f t="shared" si="10"/>
        <v>TIPORECEITA.[ID],</v>
      </c>
    </row>
    <row r="112" spans="1:6" hidden="1" x14ac:dyDescent="0.25">
      <c r="A112" t="s">
        <v>55</v>
      </c>
      <c r="B112" t="s">
        <v>267</v>
      </c>
      <c r="C112" t="str">
        <f t="shared" si="7"/>
        <v>TipoReceita.[desTipoReceita]</v>
      </c>
      <c r="D112" t="str">
        <f t="shared" si="8"/>
        <v>TipoReceita.[desTipoReceita],</v>
      </c>
      <c r="E112" t="str">
        <f t="shared" si="9"/>
        <v>TIPORECEITA</v>
      </c>
      <c r="F112" t="str">
        <f t="shared" si="10"/>
        <v>TIPORECEITA.[DESTIPORECEITA],</v>
      </c>
    </row>
    <row r="113" spans="1:27" x14ac:dyDescent="0.25">
      <c r="A113" t="s">
        <v>38</v>
      </c>
      <c r="B113" t="s">
        <v>203</v>
      </c>
      <c r="C113" t="str">
        <f t="shared" si="7"/>
        <v>Venda.[id]</v>
      </c>
      <c r="D113" t="str">
        <f t="shared" si="8"/>
        <v>Venda.[id],</v>
      </c>
      <c r="E113" t="str">
        <f t="shared" si="9"/>
        <v>VENDA</v>
      </c>
      <c r="F113" t="str">
        <f t="shared" si="10"/>
        <v>VENDA.[ID],</v>
      </c>
    </row>
    <row r="114" spans="1:27" x14ac:dyDescent="0.25">
      <c r="A114" t="s">
        <v>38</v>
      </c>
      <c r="B114" t="s">
        <v>268</v>
      </c>
      <c r="C114" t="str">
        <f t="shared" si="7"/>
        <v>Venda.[dtVenda]</v>
      </c>
      <c r="D114" t="str">
        <f t="shared" si="8"/>
        <v>Venda.[dtVenda],</v>
      </c>
      <c r="E114" t="str">
        <f t="shared" si="9"/>
        <v>VENDA</v>
      </c>
      <c r="F114" t="str">
        <f t="shared" si="10"/>
        <v>VENDA.[DTVENDA],</v>
      </c>
    </row>
    <row r="115" spans="1:27" x14ac:dyDescent="0.25">
      <c r="A115" t="s">
        <v>38</v>
      </c>
      <c r="B115" t="s">
        <v>269</v>
      </c>
      <c r="C115" t="str">
        <f t="shared" si="7"/>
        <v>Venda.[idCliente]</v>
      </c>
      <c r="D115" t="str">
        <f t="shared" si="8"/>
        <v>Venda.[idCliente],</v>
      </c>
      <c r="E115" t="str">
        <f t="shared" si="9"/>
        <v>VENDA</v>
      </c>
      <c r="F115" t="str">
        <f t="shared" si="10"/>
        <v>VENDA.[IDCLIENTE],</v>
      </c>
    </row>
    <row r="116" spans="1:27" x14ac:dyDescent="0.25">
      <c r="A116" t="s">
        <v>38</v>
      </c>
      <c r="B116" t="s">
        <v>242</v>
      </c>
      <c r="C116" t="str">
        <f t="shared" si="7"/>
        <v>Venda.[numPedido]</v>
      </c>
      <c r="D116" t="str">
        <f t="shared" si="8"/>
        <v>Venda.[numPedido],</v>
      </c>
      <c r="E116" t="str">
        <f t="shared" si="9"/>
        <v>VENDA</v>
      </c>
      <c r="F116" t="str">
        <f t="shared" si="10"/>
        <v>VENDA.[NUMPEDIDO],</v>
      </c>
    </row>
    <row r="117" spans="1:27" x14ac:dyDescent="0.25">
      <c r="A117" t="s">
        <v>38</v>
      </c>
      <c r="B117" t="s">
        <v>205</v>
      </c>
      <c r="C117" t="str">
        <f t="shared" si="7"/>
        <v>Venda.[desLote]</v>
      </c>
      <c r="D117" t="str">
        <f t="shared" si="8"/>
        <v>Venda.[desLote],</v>
      </c>
      <c r="E117" t="str">
        <f t="shared" si="9"/>
        <v>VENDA</v>
      </c>
      <c r="F117" t="str">
        <f t="shared" si="10"/>
        <v>VENDA.[DESLOTE],</v>
      </c>
    </row>
    <row r="118" spans="1:27" x14ac:dyDescent="0.25">
      <c r="A118" t="s">
        <v>38</v>
      </c>
      <c r="B118" t="s">
        <v>216</v>
      </c>
      <c r="C118" t="str">
        <f t="shared" si="7"/>
        <v>Venda.[desDescricao]</v>
      </c>
      <c r="D118" t="str">
        <f t="shared" si="8"/>
        <v>Venda.[desDescricao],</v>
      </c>
      <c r="E118" t="str">
        <f t="shared" si="9"/>
        <v>VENDA</v>
      </c>
      <c r="F118" t="str">
        <f t="shared" si="10"/>
        <v>VENDA.[DESDESCRICAO],</v>
      </c>
    </row>
    <row r="119" spans="1:27" x14ac:dyDescent="0.25">
      <c r="A119" t="s">
        <v>38</v>
      </c>
      <c r="B119" t="s">
        <v>229</v>
      </c>
      <c r="C119" t="str">
        <f t="shared" si="7"/>
        <v>Venda.[numQtde]</v>
      </c>
      <c r="D119" t="str">
        <f t="shared" si="8"/>
        <v>Venda.[numQtde],</v>
      </c>
      <c r="E119" t="str">
        <f t="shared" si="9"/>
        <v>VENDA</v>
      </c>
      <c r="F119" t="str">
        <f t="shared" si="10"/>
        <v>VENDA.[NUMQTDE],</v>
      </c>
    </row>
    <row r="120" spans="1:27" x14ac:dyDescent="0.25">
      <c r="A120" t="s">
        <v>38</v>
      </c>
      <c r="B120" t="s">
        <v>246</v>
      </c>
      <c r="C120" t="str">
        <f t="shared" si="7"/>
        <v>Venda.[numValor]</v>
      </c>
      <c r="D120" t="str">
        <f t="shared" si="8"/>
        <v>Venda.[numValor],</v>
      </c>
      <c r="E120" t="str">
        <f t="shared" si="9"/>
        <v>VENDA</v>
      </c>
      <c r="F120" t="str">
        <f t="shared" si="10"/>
        <v>VENDA.[NUMVALOR],</v>
      </c>
    </row>
    <row r="121" spans="1:27" x14ac:dyDescent="0.25">
      <c r="A121" t="s">
        <v>38</v>
      </c>
      <c r="B121" t="s">
        <v>247</v>
      </c>
      <c r="C121" t="str">
        <f t="shared" si="7"/>
        <v>Venda.[numValorTotal]</v>
      </c>
      <c r="D121" t="str">
        <f t="shared" si="8"/>
        <v>Venda.[numValorTotal],</v>
      </c>
      <c r="E121" t="str">
        <f t="shared" si="9"/>
        <v>VENDA</v>
      </c>
      <c r="F121" t="str">
        <f t="shared" si="10"/>
        <v>VENDA.[NUMVALORTOTAL],</v>
      </c>
    </row>
    <row r="122" spans="1:27" x14ac:dyDescent="0.25">
      <c r="A122" t="s">
        <v>38</v>
      </c>
      <c r="B122" t="s">
        <v>248</v>
      </c>
      <c r="C122" t="str">
        <f t="shared" si="7"/>
        <v>Venda.[dtVencimento]</v>
      </c>
      <c r="D122" t="str">
        <f t="shared" si="8"/>
        <v>Venda.[dtVencimento],</v>
      </c>
      <c r="E122" t="str">
        <f t="shared" si="9"/>
        <v>VENDA</v>
      </c>
      <c r="F122" t="str">
        <f t="shared" si="10"/>
        <v>VENDA.[DTVENCIMENTO],</v>
      </c>
    </row>
    <row r="123" spans="1:27" x14ac:dyDescent="0.25">
      <c r="A123" t="s">
        <v>38</v>
      </c>
      <c r="B123" t="s">
        <v>249</v>
      </c>
      <c r="C123" t="str">
        <f t="shared" si="7"/>
        <v>Venda.[dtPagamento]</v>
      </c>
      <c r="D123" t="str">
        <f t="shared" si="8"/>
        <v>Venda.[dtPagamento],</v>
      </c>
      <c r="E123" t="str">
        <f t="shared" si="9"/>
        <v>VENDA</v>
      </c>
      <c r="F123" t="str">
        <f t="shared" si="10"/>
        <v>VENDA.[DTPAGAMENTO],</v>
      </c>
    </row>
    <row r="124" spans="1:27" x14ac:dyDescent="0.25">
      <c r="A124" t="s">
        <v>38</v>
      </c>
      <c r="B124" t="s">
        <v>270</v>
      </c>
      <c r="C124" t="str">
        <f t="shared" si="7"/>
        <v>Venda.[idTipoReceita]</v>
      </c>
      <c r="D124" t="str">
        <f t="shared" si="8"/>
        <v>Venda.[idTipoReceita],</v>
      </c>
      <c r="E124" t="str">
        <f t="shared" si="9"/>
        <v>VENDA</v>
      </c>
      <c r="F124" t="str">
        <f t="shared" si="10"/>
        <v>VENDA.[IDTIPORECEITA],</v>
      </c>
    </row>
    <row r="126" spans="1:27" x14ac:dyDescent="0.25">
      <c r="P126" t="s">
        <v>456</v>
      </c>
    </row>
    <row r="128" spans="1:27" ht="165.75" thickBot="1" x14ac:dyDescent="0.3">
      <c r="F128" s="16" t="s">
        <v>443</v>
      </c>
      <c r="G128" t="str">
        <f>UPPER(F128)</f>
        <v>"SELECT DESPESAS.[ID], DESPESA.[DESDESPESA], FORNECEDOR.[DESNOME], DESPESAS.[DESDESCRICAO]," _
    &amp; "DESPESAS.[NUMVALOR], DESPESAS.[DTVENCIMENTO], DESPESAS.[DTPAGAMENTO], DESPESAS.[DESOBSERVACAO] " _
    &amp; "FROM (((DESPESAS LEFT JOIN FORNECEDOR ON DESPESAS.IDFORNECEDOR = FORNECEDOR.ID) LEFT JOIN DESPESA ON DESPESAS.IDDESPESA = DESPESA.ID)"</v>
      </c>
      <c r="P128" s="34" t="s">
        <v>1</v>
      </c>
      <c r="Q128" s="35" t="s">
        <v>461</v>
      </c>
      <c r="R128" s="35" t="s">
        <v>170</v>
      </c>
      <c r="S128" s="35" t="s">
        <v>63</v>
      </c>
      <c r="T128" s="35" t="s">
        <v>174</v>
      </c>
      <c r="U128" s="35" t="s">
        <v>7</v>
      </c>
      <c r="V128" s="35" t="s">
        <v>460</v>
      </c>
      <c r="W128" s="35" t="s">
        <v>45</v>
      </c>
      <c r="X128" s="35" t="s">
        <v>398</v>
      </c>
      <c r="Y128" s="35" t="s">
        <v>171</v>
      </c>
      <c r="Z128" s="35" t="s">
        <v>399</v>
      </c>
      <c r="AA128" s="35" t="s">
        <v>379</v>
      </c>
    </row>
    <row r="129" spans="1:27" x14ac:dyDescent="0.25">
      <c r="P129" t="s">
        <v>447</v>
      </c>
      <c r="Q129" t="s">
        <v>447</v>
      </c>
      <c r="R129" t="s">
        <v>449</v>
      </c>
      <c r="S129" t="s">
        <v>447</v>
      </c>
      <c r="T129" t="s">
        <v>449</v>
      </c>
      <c r="U129" t="s">
        <v>449</v>
      </c>
      <c r="V129" t="s">
        <v>447</v>
      </c>
      <c r="W129" t="s">
        <v>447</v>
      </c>
      <c r="X129" t="s">
        <v>449</v>
      </c>
      <c r="Y129" t="s">
        <v>448</v>
      </c>
      <c r="Z129" t="s">
        <v>447</v>
      </c>
      <c r="AA129" t="s">
        <v>449</v>
      </c>
    </row>
    <row r="130" spans="1:27" x14ac:dyDescent="0.25">
      <c r="A130" t="s">
        <v>40</v>
      </c>
      <c r="P130" t="str">
        <f>"ByVal "&amp;P128&amp;" As "&amp;P129&amp;", "</f>
        <v xml:space="preserve">ByVal ID As Long, </v>
      </c>
      <c r="Q130" t="str">
        <f t="shared" ref="Q130:AA130" si="11">"ByVal "&amp;Q128&amp;" As "&amp;Q129&amp;", "</f>
        <v xml:space="preserve">ByVal IDAnimal As Long, </v>
      </c>
      <c r="R130" t="str">
        <f t="shared" si="11"/>
        <v xml:space="preserve">ByVal Brinco As String, </v>
      </c>
      <c r="S130" t="str">
        <f t="shared" si="11"/>
        <v xml:space="preserve">ByVal Sitio As Long, </v>
      </c>
      <c r="T130" t="str">
        <f t="shared" si="11"/>
        <v xml:space="preserve">ByVal Categoria As String, </v>
      </c>
      <c r="U130" t="str">
        <f t="shared" si="11"/>
        <v xml:space="preserve">ByVal Status As String, </v>
      </c>
      <c r="V130" t="str">
        <f t="shared" si="11"/>
        <v xml:space="preserve">ByVal ClasseMedicamento As Long, </v>
      </c>
      <c r="W130" t="str">
        <f t="shared" si="11"/>
        <v xml:space="preserve">ByVal Medicamento As Long, </v>
      </c>
      <c r="X130" t="str">
        <f t="shared" si="11"/>
        <v xml:space="preserve">ByVal Unidade As String, </v>
      </c>
      <c r="Y130" t="str">
        <f t="shared" si="11"/>
        <v xml:space="preserve">ByVal Data As Date, </v>
      </c>
      <c r="Z130" t="str">
        <f t="shared" si="11"/>
        <v xml:space="preserve">ByVal Quantidade As Long, </v>
      </c>
      <c r="AA130" t="str">
        <f t="shared" si="11"/>
        <v xml:space="preserve">ByVal Observação As String, </v>
      </c>
    </row>
    <row r="131" spans="1:27" x14ac:dyDescent="0.25">
      <c r="A131" t="s">
        <v>47</v>
      </c>
    </row>
    <row r="132" spans="1:27" x14ac:dyDescent="0.25">
      <c r="A132" t="s">
        <v>49</v>
      </c>
      <c r="P132" t="str">
        <f>$P$1&amp;P128&amp;$Q$1</f>
        <v xml:space="preserve">""" &amp; ID &amp; """, </v>
      </c>
      <c r="Q132" t="str">
        <f t="shared" ref="Q132:AA132" si="12">$P$1&amp;Q128&amp;$Q$1</f>
        <v xml:space="preserve">""" &amp; IDAnimal &amp; """, </v>
      </c>
      <c r="R132" t="str">
        <f t="shared" si="12"/>
        <v xml:space="preserve">""" &amp; Brinco &amp; """, </v>
      </c>
      <c r="S132" t="str">
        <f t="shared" si="12"/>
        <v xml:space="preserve">""" &amp; Sitio &amp; """, </v>
      </c>
      <c r="T132" t="str">
        <f t="shared" si="12"/>
        <v xml:space="preserve">""" &amp; Categoria &amp; """, </v>
      </c>
      <c r="U132" t="str">
        <f t="shared" si="12"/>
        <v xml:space="preserve">""" &amp; Status &amp; """, </v>
      </c>
      <c r="V132" t="str">
        <f t="shared" si="12"/>
        <v xml:space="preserve">""" &amp; ClasseMedicamento &amp; """, </v>
      </c>
      <c r="W132" t="str">
        <f t="shared" si="12"/>
        <v xml:space="preserve">""" &amp; Medicamento &amp; """, </v>
      </c>
      <c r="X132" t="str">
        <f t="shared" si="12"/>
        <v xml:space="preserve">""" &amp; Unidade &amp; """, </v>
      </c>
      <c r="Y132" t="str">
        <f t="shared" si="12"/>
        <v xml:space="preserve">""" &amp; Data &amp; """, </v>
      </c>
      <c r="Z132" t="str">
        <f t="shared" si="12"/>
        <v xml:space="preserve">""" &amp; Quantidade &amp; """, </v>
      </c>
      <c r="AA132" t="str">
        <f t="shared" si="12"/>
        <v xml:space="preserve">""" &amp; Observação &amp; """, </v>
      </c>
    </row>
    <row r="133" spans="1:27" x14ac:dyDescent="0.25">
      <c r="A133" t="s">
        <v>53</v>
      </c>
      <c r="P133" t="s">
        <v>203</v>
      </c>
      <c r="Q133" t="s">
        <v>224</v>
      </c>
      <c r="R133" t="s">
        <v>204</v>
      </c>
      <c r="S133" t="s">
        <v>455</v>
      </c>
      <c r="T133" t="s">
        <v>261</v>
      </c>
      <c r="U133" t="s">
        <v>130</v>
      </c>
      <c r="V133" t="s">
        <v>225</v>
      </c>
      <c r="W133" t="s">
        <v>226</v>
      </c>
      <c r="X133" t="s">
        <v>227</v>
      </c>
      <c r="Y133" t="s">
        <v>228</v>
      </c>
      <c r="Z133" t="s">
        <v>229</v>
      </c>
      <c r="AA133" t="s">
        <v>230</v>
      </c>
    </row>
    <row r="134" spans="1:27" x14ac:dyDescent="0.25">
      <c r="P134" t="str">
        <f>P133&amp;" = "&amp;P132</f>
        <v xml:space="preserve">id = """ &amp; ID &amp; """, </v>
      </c>
      <c r="Q134" t="str">
        <f t="shared" ref="Q134:AA134" si="13">Q133&amp;" = "&amp;Q132</f>
        <v xml:space="preserve">idAnimal = """ &amp; IDAnimal &amp; """, </v>
      </c>
      <c r="R134" t="str">
        <f t="shared" si="13"/>
        <v xml:space="preserve">numBrinco = """ &amp; Brinco &amp; """, </v>
      </c>
      <c r="S134" t="str">
        <f t="shared" si="13"/>
        <v xml:space="preserve">idSitio = """ &amp; Sitio &amp; """, </v>
      </c>
      <c r="T134" t="str">
        <f t="shared" si="13"/>
        <v xml:space="preserve">desCategoria = """ &amp; Categoria &amp; """, </v>
      </c>
      <c r="U134" t="str">
        <f t="shared" si="13"/>
        <v xml:space="preserve">desStatus = """ &amp; Status &amp; """, </v>
      </c>
      <c r="V134" t="str">
        <f t="shared" si="13"/>
        <v xml:space="preserve">idSanidade = """ &amp; ClasseMedicamento &amp; """, </v>
      </c>
      <c r="W134" t="str">
        <f t="shared" si="13"/>
        <v xml:space="preserve">idMedicamento = """ &amp; Medicamento &amp; """, </v>
      </c>
      <c r="X134" t="str">
        <f t="shared" si="13"/>
        <v xml:space="preserve">desUnidade = """ &amp; Unidade &amp; """, </v>
      </c>
      <c r="Y134" t="str">
        <f t="shared" si="13"/>
        <v xml:space="preserve">dtData = """ &amp; Data &amp; """, </v>
      </c>
      <c r="Z134" t="str">
        <f t="shared" si="13"/>
        <v xml:space="preserve">numQtde = """ &amp; Quantidade &amp; """, </v>
      </c>
      <c r="AA134" t="str">
        <f t="shared" si="13"/>
        <v xml:space="preserve">desObservacao = """ &amp; Observação &amp; """, </v>
      </c>
    </row>
    <row r="136" spans="1:27" ht="15" customHeight="1" x14ac:dyDescent="0.25">
      <c r="B136" s="16" t="s">
        <v>272</v>
      </c>
      <c r="P136" t="str">
        <f>"Cells("&amp;$P$126&amp;"," &amp;P137&amp;"),"</f>
        <v>Cells(iAplMed,1),</v>
      </c>
      <c r="Q136" t="str">
        <f t="shared" ref="Q136:AA136" si="14">"Cells("&amp;$P$126&amp;"," &amp;Q137&amp;"), "</f>
        <v xml:space="preserve">Cells(iAplMed,2), </v>
      </c>
      <c r="R136" t="str">
        <f t="shared" si="14"/>
        <v xml:space="preserve">Cells(iAplMed,3), </v>
      </c>
      <c r="S136" t="str">
        <f t="shared" si="14"/>
        <v xml:space="preserve">Cells(iAplMed,14), </v>
      </c>
      <c r="T136" t="str">
        <f t="shared" si="14"/>
        <v xml:space="preserve">Cells(iAplMed,5), </v>
      </c>
      <c r="U136" t="str">
        <f t="shared" si="14"/>
        <v xml:space="preserve">Cells(iAplMed,6), </v>
      </c>
      <c r="V136" t="str">
        <f t="shared" si="14"/>
        <v xml:space="preserve">Cells(iAplMed,15), </v>
      </c>
      <c r="W136" t="str">
        <f t="shared" si="14"/>
        <v xml:space="preserve">Cells(iAplMed,16), </v>
      </c>
      <c r="X136" t="str">
        <f t="shared" si="14"/>
        <v xml:space="preserve">Cells(iAplMed,9), </v>
      </c>
      <c r="Y136" t="str">
        <f t="shared" si="14"/>
        <v xml:space="preserve">Cells(iAplMed,10), </v>
      </c>
      <c r="Z136" t="str">
        <f t="shared" si="14"/>
        <v xml:space="preserve">Cells(iAplMed,11), </v>
      </c>
      <c r="AA136" t="str">
        <f t="shared" si="14"/>
        <v xml:space="preserve">Cells(iAplMed,12), </v>
      </c>
    </row>
    <row r="137" spans="1:27" x14ac:dyDescent="0.25">
      <c r="P137">
        <v>1</v>
      </c>
      <c r="Q137">
        <v>2</v>
      </c>
      <c r="R137">
        <v>3</v>
      </c>
      <c r="S137">
        <v>14</v>
      </c>
      <c r="T137">
        <v>5</v>
      </c>
      <c r="U137">
        <v>6</v>
      </c>
      <c r="V137">
        <v>15</v>
      </c>
      <c r="W137">
        <v>16</v>
      </c>
      <c r="X137">
        <v>9</v>
      </c>
      <c r="Y137">
        <v>10</v>
      </c>
      <c r="Z137">
        <v>11</v>
      </c>
      <c r="AA137">
        <v>12</v>
      </c>
    </row>
    <row r="138" spans="1:27" x14ac:dyDescent="0.25">
      <c r="P138" t="str">
        <f>P133&amp;", "</f>
        <v xml:space="preserve">id, </v>
      </c>
      <c r="Q138" t="str">
        <f t="shared" ref="Q138:AA138" si="15">Q133&amp;", "</f>
        <v xml:space="preserve">idAnimal, </v>
      </c>
      <c r="R138" t="str">
        <f t="shared" si="15"/>
        <v xml:space="preserve">numBrinco, </v>
      </c>
      <c r="S138" t="str">
        <f t="shared" si="15"/>
        <v xml:space="preserve">idSitio, </v>
      </c>
      <c r="T138" t="str">
        <f t="shared" si="15"/>
        <v xml:space="preserve">desCategoria, </v>
      </c>
      <c r="U138" t="str">
        <f t="shared" si="15"/>
        <v xml:space="preserve">desStatus, </v>
      </c>
      <c r="V138" t="str">
        <f t="shared" si="15"/>
        <v xml:space="preserve">idSanidade, </v>
      </c>
      <c r="W138" t="str">
        <f t="shared" si="15"/>
        <v xml:space="preserve">idMedicamento, </v>
      </c>
      <c r="X138" t="str">
        <f t="shared" si="15"/>
        <v xml:space="preserve">desUnidade, </v>
      </c>
      <c r="Y138" t="str">
        <f t="shared" si="15"/>
        <v xml:space="preserve">dtData, </v>
      </c>
      <c r="Z138" t="str">
        <f t="shared" si="15"/>
        <v xml:space="preserve">numQtde, </v>
      </c>
      <c r="AA138" t="str">
        <f t="shared" si="15"/>
        <v xml:space="preserve">desObservacao, </v>
      </c>
    </row>
    <row r="140" spans="1:27" x14ac:dyDescent="0.25">
      <c r="P140" t="s">
        <v>25</v>
      </c>
    </row>
    <row r="141" spans="1:27" x14ac:dyDescent="0.25">
      <c r="P141" t="str">
        <f>UPPER($P$140&amp;"."&amp;"["&amp;P133&amp;"]")&amp;", "</f>
        <v xml:space="preserve">APLICACAOMEDICAMENTO.[ID], </v>
      </c>
      <c r="Q141" t="str">
        <f t="shared" ref="Q141:AA141" si="16">UPPER($P$140&amp;"."&amp;"["&amp;Q133&amp;"]")&amp;", "</f>
        <v xml:space="preserve">APLICACAOMEDICAMENTO.[IDANIMAL], </v>
      </c>
      <c r="R141" t="str">
        <f t="shared" si="16"/>
        <v xml:space="preserve">APLICACAOMEDICAMENTO.[NUMBRINCO], </v>
      </c>
      <c r="S141" t="str">
        <f t="shared" si="16"/>
        <v xml:space="preserve">APLICACAOMEDICAMENTO.[IDSITIO], </v>
      </c>
      <c r="T141" t="str">
        <f t="shared" si="16"/>
        <v xml:space="preserve">APLICACAOMEDICAMENTO.[DESCATEGORIA], </v>
      </c>
      <c r="U141" t="str">
        <f t="shared" si="16"/>
        <v xml:space="preserve">APLICACAOMEDICAMENTO.[DESSTATUS], </v>
      </c>
      <c r="V141" t="str">
        <f t="shared" si="16"/>
        <v xml:space="preserve">APLICACAOMEDICAMENTO.[IDSANIDADE], </v>
      </c>
      <c r="W141" t="str">
        <f t="shared" si="16"/>
        <v xml:space="preserve">APLICACAOMEDICAMENTO.[IDMEDICAMENTO], </v>
      </c>
      <c r="X141" t="str">
        <f t="shared" si="16"/>
        <v xml:space="preserve">APLICACAOMEDICAMENTO.[DESUNIDADE], </v>
      </c>
      <c r="Y141" t="str">
        <f t="shared" si="16"/>
        <v xml:space="preserve">APLICACAOMEDICAMENTO.[DTDATA], </v>
      </c>
      <c r="Z141" t="str">
        <f t="shared" si="16"/>
        <v xml:space="preserve">APLICACAOMEDICAMENTO.[NUMQTDE], </v>
      </c>
      <c r="AA141" t="str">
        <f t="shared" si="16"/>
        <v xml:space="preserve">APLICACAOMEDICAMENTO.[DESOBSERVACAO], </v>
      </c>
    </row>
  </sheetData>
  <protectedRanges>
    <protectedRange sqref="P144:AA144" name="Intervalo1_2"/>
  </protectedRanges>
  <autoFilter ref="A2:G124" xr:uid="{00000000-0009-0000-0000-000001000000}">
    <filterColumn colId="0">
      <filters>
        <filter val="Venda"/>
      </filters>
    </filterColumn>
  </autoFilter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Configuracao">
    <tabColor rgb="FF00B050"/>
  </sheetPr>
  <dimension ref="B1:B11"/>
  <sheetViews>
    <sheetView showGridLines="0" topLeftCell="B1" zoomScale="145" zoomScaleNormal="145" workbookViewId="0">
      <selection activeCell="B9" sqref="B9"/>
    </sheetView>
  </sheetViews>
  <sheetFormatPr defaultRowHeight="15" x14ac:dyDescent="0.25"/>
  <cols>
    <col min="1" max="1" width="0" hidden="1" customWidth="1"/>
    <col min="2" max="2" width="89.140625" bestFit="1" customWidth="1"/>
  </cols>
  <sheetData>
    <row r="1" spans="2:2" x14ac:dyDescent="0.25">
      <c r="B1" s="2" t="s">
        <v>19</v>
      </c>
    </row>
    <row r="2" spans="2:2" hidden="1" x14ac:dyDescent="0.25">
      <c r="B2" s="3"/>
    </row>
    <row r="3" spans="2:2" hidden="1" x14ac:dyDescent="0.25"/>
    <row r="4" spans="2:2" x14ac:dyDescent="0.25">
      <c r="B4" s="4" t="s">
        <v>544</v>
      </c>
    </row>
    <row r="11" spans="2:2" x14ac:dyDescent="0.25">
      <c r="B11" s="36" t="s">
        <v>440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2">
              <controlPr defaultSize="0" print="0" autoFill="0" autoPict="0" macro="[0]!Configuracao.lsSelecionarArquivo">
                <anchor moveWithCells="1" sizeWithCells="1">
                  <from>
                    <xdr:col>2</xdr:col>
                    <xdr:colOff>123825</xdr:colOff>
                    <xdr:row>2</xdr:row>
                    <xdr:rowOff>57150</xdr:rowOff>
                  </from>
                  <to>
                    <xdr:col>4</xdr:col>
                    <xdr:colOff>133350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UI/_rels/customUI.xml.rels><?xml version="1.0" encoding="UTF-8" standalone="yes"?>
<Relationships xmlns="http://schemas.openxmlformats.org/package/2006/relationships"><Relationship Id="tipo" Type="http://schemas.openxmlformats.org/officeDocument/2006/relationships/image" Target="images/0736dc10-5a7d-4a80-80fa-4614b3087107.png"/><Relationship Id="export" Type="http://schemas.openxmlformats.org/officeDocument/2006/relationships/image" Target="images/102b88a4-d17b-44ae-b1e1-14ed213ae461.png"/><Relationship Id="pasto" Type="http://schemas.openxmlformats.org/officeDocument/2006/relationships/image" Target="images/8023caab-d92e-4d3d-99de-c3f6214710ef.png"/><Relationship Id="raca" Type="http://schemas.openxmlformats.org/officeDocument/2006/relationships/image" Target="images/94cf21a8-238b-4c31-b929-8abd8c63366f.png"/><Relationship Id="tipodespesa" Type="http://schemas.openxmlformats.org/officeDocument/2006/relationships/image" Target="images/138e5419-ee01-4913-bfa4-a39a1d733b9b.png"/><Relationship Id="causamorte" Type="http://schemas.openxmlformats.org/officeDocument/2006/relationships/image" Target="images/244933b3-f9cb-4f89-bea1-3cd82915c2d3.png"/><Relationship Id="dashboard" Type="http://schemas.openxmlformats.org/officeDocument/2006/relationships/image" Target="images/1a47aaf6-1104-4d53-9fbd-9abd5283850c.png"/><Relationship Id="dashboard1" Type="http://schemas.openxmlformats.org/officeDocument/2006/relationships/image" Target="images/7873fb56-a3b7-476b-8f2c-2c40bca15b80.png"/><Relationship Id="imprimir" Type="http://schemas.openxmlformats.org/officeDocument/2006/relationships/image" Target="images/4ae67d14-2da1-4047-96bc-e28600a82601.png"/><Relationship Id="inseminacao" Type="http://schemas.openxmlformats.org/officeDocument/2006/relationships/image" Target="images/7ebadf21-5af9-4a7d-9752-475f654e6303.png"/><Relationship Id="cement" Type="http://schemas.openxmlformats.org/officeDocument/2006/relationships/image" Target="images/13b5ff51-a1c3-416a-8f9b-f171c7f10075.png"/><Relationship Id="configuracao" Type="http://schemas.openxmlformats.org/officeDocument/2006/relationships/image" Target="images/3e3a76d1-1da2-4882-95a5-b0849d1517f9.png"/><Relationship Id="engrenagem" Type="http://schemas.openxmlformats.org/officeDocument/2006/relationships/image" Target="images/dd8a24c3-cb52-4360-9102-80c940327316.png"/><Relationship Id="imprimir0" Type="http://schemas.openxmlformats.org/officeDocument/2006/relationships/image" Target="images/6f6251d2-90c0-423e-875b-f2fca97ce174.png"/><Relationship Id="pdf" Type="http://schemas.openxmlformats.org/officeDocument/2006/relationships/image" Target="images/a55abc65-3b0d-47e9-bbcd-85e55de38895.png"/><Relationship Id="sanidade" Type="http://schemas.openxmlformats.org/officeDocument/2006/relationships/image" Target="images/42a6586e-45c3-4ab6-9e0f-27054761e696.png"/><Relationship Id="tiporeceita" Type="http://schemas.openxmlformats.org/officeDocument/2006/relationships/image" Target="images/11cba8b7-ee74-464c-a0b8-36f23ba68898.png"/><Relationship Id="gasoline" Type="http://schemas.openxmlformats.org/officeDocument/2006/relationships/image" Target="images/7ce59128-d795-43a0-b812-36a99529eaa6.png"/><Relationship Id="backup" Type="http://schemas.openxmlformats.org/officeDocument/2006/relationships/image" Target="images/4622b978-14cd-4100-8f4f-4c5746e93179.png"/><Relationship Id="database" Type="http://schemas.openxmlformats.org/officeDocument/2006/relationships/image" Target="images/b85558b1-e916-4e50-ab57-cac8b5f0263c.png"/><Relationship Id="fornecedor" Type="http://schemas.openxmlformats.org/officeDocument/2006/relationships/image" Target="images/6eb87633-6f69-45ea-ba69-5b90ba6d86a8.png"/><Relationship Id="refresh" Type="http://schemas.openxmlformats.org/officeDocument/2006/relationships/image" Target="images/d719c3db-9fbc-48b3-9a05-27075da22633.png"/><Relationship Id="venda" Type="http://schemas.openxmlformats.org/officeDocument/2006/relationships/image" Target="images/645ceea5-2e9d-4c7a-8887-d3902ea13885.png"/><Relationship Id="new-product-setting" Type="http://schemas.openxmlformats.org/officeDocument/2006/relationships/image" Target="images/400c312d-c383-40ba-8c11-ba87bea58df5.png"/><Relationship Id="farm" Type="http://schemas.openxmlformats.org/officeDocument/2006/relationships/image" Target="images/2bdbc73e-baad-44f3-8328-69423fccfb88.png"/><Relationship Id="animal" Type="http://schemas.openxmlformats.org/officeDocument/2006/relationships/image" Target="images/7d01ed50-d0e9-4b9c-a232-a7240e5fe9cd.png"/><Relationship Id="circle" Type="http://schemas.openxmlformats.org/officeDocument/2006/relationships/image" Target="images/1a639a29-3171-45ad-93aa-20b5663b527f.png"/><Relationship Id="peso" Type="http://schemas.openxmlformats.org/officeDocument/2006/relationships/image" Target="images/20c82e35-f0bf-43c9-a6a1-acc1ccd90ce9.png"/><Relationship Id="question" Type="http://schemas.openxmlformats.org/officeDocument/2006/relationships/image" Target="images/bd01506c-9dc2-431d-91ab-53994c624778.png"/><Relationship Id="cliente" Type="http://schemas.openxmlformats.org/officeDocument/2006/relationships/image" Target="images/7b00b9d6-7571-46b2-bdb9-0c5117f929bf.png"/><Relationship Id="configuracao0" Type="http://schemas.openxmlformats.org/officeDocument/2006/relationships/image" Target="images/4c8d04bb-1c4e-462e-8d30-4666d464f285.png"/><Relationship Id="status" Type="http://schemas.openxmlformats.org/officeDocument/2006/relationships/image" Target="images/cc8cefcd-85f9-49a3-8c92-7c9d520b8a93.png"/><Relationship Id="aplicacao" Type="http://schemas.openxmlformats.org/officeDocument/2006/relationships/image" Target="images/d6f6d354-ee2d-43eb-9892-b35084202dbe.png"/><Relationship Id="despesas" Type="http://schemas.openxmlformats.org/officeDocument/2006/relationships/image" Target="images/a58e4ba7-252a-4053-9032-2827c157a0e2.png"/><Relationship Id="interruptor" Type="http://schemas.openxmlformats.org/officeDocument/2006/relationships/image" Target="images/142a01af-da28-443b-885f-a405d7890419.png"/><Relationship Id="medicamento" Type="http://schemas.openxmlformats.org/officeDocument/2006/relationships/image" Target="images/e506e276-173b-4c84-8418-a3223afce73c.png"/><Relationship Id="origem" Type="http://schemas.openxmlformats.org/officeDocument/2006/relationships/image" Target="images/6da99de4-0555-4d57-a958-0be9afcf5fff.png"/><Relationship Id="engineering" Type="http://schemas.openxmlformats.org/officeDocument/2006/relationships/image" Target="images/5b93f8f2-2504-4986-bfe9-eca5b7618780.png"/><Relationship Id="ruler" Type="http://schemas.openxmlformats.org/officeDocument/2006/relationships/image" Target="images/1d5eb678-bb87-4504-9b5d-fce2c54c6ecc.png"/></Relationships>
</file>

<file path=customUI/customUI.xml><?xml version="1.0" encoding="utf-8"?>
<customUI xmlns="http://schemas.microsoft.com/office/2006/01/customui">
  <ribbon startFromScratch="true">
    <tabs>
      <tab id="customTab" label="Controle de Gado" insertAfterMso="TabHome">
        <group id="salvar" label="Editar">
          <button id="Salvar" label="Salvar" size="large" onAction="salvar" image="database"/>
          <button id="Atualizar" label="Listar" size="large" onAction="atualizar555" image="refresh"/>
        </group>
        <group id="atalhos" label="Cadastros">
          <button id="banimal" label="Animais" size="large" onAction="iranimais" image="animal"/>
          <button id="bclientes" label="Clientes" size="large" onAction="irclientes" image="cliente"/>
          <button id="bfornecedores" label="Fornecedores" size="large" onAction="irfornecedores" image="fornecedor"/>
        </group>
        <group id="atalhos2" label="Lançamentos">
          <button id="bdespesas" label="Despesas" size="large" onAction="irdespesas" image="despesas"/>
          <button id="baplicacoes" label="Aplicações" size="large" onAction="iraplicacoes" image="aplicacao"/>
          <button id="binseminacoes" label="Inseminações" size="large" onAction="irinseminacoes" image="inseminacao"/>
          <button id="bpeso" label="Peso" size="large" onAction="irpeso" image="peso"/>
          <button id="bvenda" label="Receitas" size="large" onAction="irvendas" image="venda"/>
        </group>
        <group id="relatorios" label="Relatórios">
          <button id="cdashboard" label="Relatórios e Dashboard" size="large" onAction="cdashboard" image="dashboard"/>
        </group>
        <group id="sobre" label="Menu">
          <button id="Sobre1" label="Menu" size="large" onAction="sobre" image="circle"/>
          <button id="bliga" label="Exibir/Ocultar" size="large" onAction="cliga" image="interruptor"/>
          <separator id="separator6"/>
          <button id="bConfiguracao" label="Local do Banco" size="large" onAction="clocalbanco" image="engrenagem"/>
          <button id="bBackup" label="Backup" size="large" onAction="cbackup" image="backup"/>
          <separator id="separator5"/>
          <button id="bAjuda" label="Ajuda" size="large" onAction="ajuda" image="question"/>
        </group>
      </tab>
      <tab id="customTab2" label="Cadastros Secundários" insertAfterMso="TabHome2">
        <group id="salvar2" label="Editar">
          <button id="Salvar2" label="Salvar" size="large" onAction="salvar" image="database"/>
          <button id="Atualizar2" label="Listar" size="large" onAction="atualizar555" image="refresh"/>
        </group>
        <group id="atalhos3" label="Configurações Animais">
          <button id="borigem" label="Origem" size="large" onAction="irorigem" image="origem"/>
          <button id="braca" label="Raça" size="large" onAction="irraca" image="raca"/>
          <button id="bstatusanimal" label="Status do Animal" size="large" onAction="irstatus" image="status"/>
          <button id="bcausamorte" label="Causa da Morte" size="large" onAction="ircausamorte" image="causamorte"/>
          <button id="btipoanimal" label="Tipo Animal" size="large" onAction="irtipoanimal" image="tipo"/>
          <button id="bsanidade" label="Sanidade" size="large" onAction="irsanidade" image="sanidade"/>
          <button id="bpasto" label="Pasto" size="large" onAction="irpasto" image="pasto"/>
          <button id="bSitio" label="Propriedades Rurais" size="large" onAction="irprural" image="farm"/>
        </group>
        <group id="a222" label="Configurações Produtos">
          <button id="bmedicamento" label="Medicamento" size="large" onAction="irmedicamento" image="medicamento"/>
          <button id="bpecas" label="Peças" size="large" onAction="irpecas" image="engineering"/>
          <button id="bcomb" label="Combustíveis" size="large" onAction="ircombu" image="gasoline"/>
          <button id="bins" label="Insumos Bovinos" size="large" onAction="irinsumos" image="cement"/>
          <button id="bgpr" label="Grupo de Produtos" size="large" onAction="irgprprodt" image="new-product-setting"/>
          <button id="bund" label="Unidades de Medidas" size="large" onAction="irunid" image="ruler"/>
        </group>
        <group id="a2223" label="Configurações Financeiras">
          <button id="btipodespesa" label="Tipo Despesa" size="large" onAction="irdespesa" image="tipodespesa"/>
          <button id="btiporeceita" label="Tipo Receita" size="large" onAction="irreceita" image="tiporeceit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30</vt:i4>
      </vt:variant>
      <vt:variant>
        <vt:lpstr>Intervalos Nomeados</vt:lpstr>
      </vt:variant>
      <vt:variant>
        <vt:i4>5</vt:i4>
      </vt:variant>
    </vt:vector>
  </HeadingPairs>
  <TitlesOfParts>
    <vt:vector size="35" baseType="lpstr">
      <vt:lpstr>TESTE</vt:lpstr>
      <vt:lpstr>Tabelas</vt:lpstr>
      <vt:lpstr>Produtos</vt:lpstr>
      <vt:lpstr>Entradas Produtos</vt:lpstr>
      <vt:lpstr>Unidades de Medidas</vt:lpstr>
      <vt:lpstr>Grupo de Produtos</vt:lpstr>
      <vt:lpstr>Combustíveis</vt:lpstr>
      <vt:lpstr>Insumos</vt:lpstr>
      <vt:lpstr>Peças</vt:lpstr>
      <vt:lpstr>Propriedades Rurais</vt:lpstr>
      <vt:lpstr>Animal</vt:lpstr>
      <vt:lpstr>Clientes</vt:lpstr>
      <vt:lpstr>Fornecedores</vt:lpstr>
      <vt:lpstr>Despesas</vt:lpstr>
      <vt:lpstr>Aplicação Medicamentos</vt:lpstr>
      <vt:lpstr>Inseminação</vt:lpstr>
      <vt:lpstr>Pesos</vt:lpstr>
      <vt:lpstr>Receitas</vt:lpstr>
      <vt:lpstr>Origem</vt:lpstr>
      <vt:lpstr>Raça</vt:lpstr>
      <vt:lpstr>Status Animal</vt:lpstr>
      <vt:lpstr>Causa Da Morte</vt:lpstr>
      <vt:lpstr>Pastos</vt:lpstr>
      <vt:lpstr>Sanidade</vt:lpstr>
      <vt:lpstr>Medicamentos</vt:lpstr>
      <vt:lpstr>Tipo Despesa</vt:lpstr>
      <vt:lpstr>Tipo Receita</vt:lpstr>
      <vt:lpstr>Tipo Animal</vt:lpstr>
      <vt:lpstr>DADOS SQL</vt:lpstr>
      <vt:lpstr>Fonte</vt:lpstr>
      <vt:lpstr>A</vt:lpstr>
      <vt:lpstr>AA</vt:lpstr>
      <vt:lpstr>ANIMAIS</vt:lpstr>
      <vt:lpstr>Arquivo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VITOR</cp:lastModifiedBy>
  <dcterms:created xsi:type="dcterms:W3CDTF">2024-01-29T01:52:41Z</dcterms:created>
  <dcterms:modified xsi:type="dcterms:W3CDTF">2024-03-16T18:56:18Z</dcterms:modified>
</cp:coreProperties>
</file>